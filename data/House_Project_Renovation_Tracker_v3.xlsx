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use Project Cost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Dashboard" sheetId="4" state="visible" r:id="rId4"/>
  </sheets>
  <definedNames/>
</workbook>
</file>

<file path=xl/styles.xml><?xml version="1.0" encoding="utf-8"?>
<styleSheet xmlns="http://schemas.openxmlformats.org/spreadsheetml/2006/main">
  <numFmts count="3">
    <numFmt numFmtId="164" formatCode="£#,##0.00"/>
    <numFmt numFmtId="165" formatCode="0.0%"/>
    <numFmt numFmtId="166" formatCode="dd/mm/yyyy"/>
  </numFmts>
  <fonts count="11">
    <font>
      <name val="Calibri"/>
      <color theme="1"/>
      <sz val="11"/>
    </font>
    <font>
      <b val="1"/>
    </font>
    <font>
      <b val="1"/>
      <color rgb="FFFFFFFF"/>
    </font>
    <font>
      <name val="Calibri"/>
      <b val="1"/>
      <color rgb="FF2E7D32"/>
      <sz val="11"/>
    </font>
    <font>
      <name val="Calibri"/>
      <b val="1"/>
      <color rgb="FFC62828"/>
      <sz val="11"/>
    </font>
    <font>
      <b val="1"/>
      <color rgb="FF274E13"/>
    </font>
    <font>
      <name val="Calibri"/>
      <b val="1"/>
      <color rgb="FF274E13"/>
      <sz val="11"/>
    </font>
    <font>
      <b val="1"/>
      <color rgb="FFFFFFFF"/>
    </font>
    <font>
      <name val="Calibri"/>
      <b val="1"/>
      <color rgb="FFFFFFFF"/>
      <sz val="11"/>
    </font>
    <font>
      <name val="Calibri"/>
      <b val="1"/>
      <color theme="1"/>
      <sz val="11"/>
    </font>
    <font>
      <name val="Calibri"/>
      <b val="1"/>
      <color rgb="FFFFFFFF"/>
      <sz val="18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22">
    <border/>
    <border/>
    <border/>
    <border/>
    <border/>
    <border/>
    <border/>
    <border/>
    <border/>
    <border/>
    <border/>
    <border/>
    <border/>
    <border/>
    <border/>
    <border/>
    <border/>
    <border/>
    <border>
      <top style="double">
        <color rgb="FF548235"/>
      </top>
    </border>
    <border>
      <top style="double">
        <color rgb="FF548235"/>
      </top>
    </border>
    <border>
      <top style="double">
        <color rgb="FF548235"/>
      </top>
    </border>
    <border>
      <top style="double">
        <color rgb="FF548235"/>
      </top>
    </border>
  </borders>
  <cellStyleXfs count="1">
    <xf numFmtId="0" fontId="0" fillId="0" borderId="17"/>
  </cellStyleXfs>
  <cellXfs count="22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1" fillId="0" borderId="7" pivotButton="0" quotePrefix="0" xfId="0"/>
    <xf numFmtId="0" fontId="0" fillId="0" borderId="8" pivotButton="0" quotePrefix="0" xfId="0"/>
    <xf numFmtId="164" fontId="0" fillId="0" borderId="8" pivotButton="0" quotePrefix="0" xfId="0"/>
    <xf numFmtId="0" fontId="0" fillId="0" borderId="9" pivotButton="0" quotePrefix="0" xfId="0"/>
    <xf numFmtId="0" fontId="2" fillId="2" borderId="10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2" fillId="2" borderId="1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5" pivotButton="0" quotePrefix="0" xfId="0"/>
    <xf numFmtId="0" fontId="0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164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164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164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3" borderId="5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0" fontId="0" fillId="3" borderId="6" applyAlignment="1" pivotButton="0" quotePrefix="0" xfId="0">
      <alignment vertical="center" wrapText="1"/>
    </xf>
    <xf numFmtId="0" fontId="0" fillId="3" borderId="13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3" borderId="14" applyAlignment="1" pivotButton="0" quotePrefix="0" xfId="0">
      <alignment vertical="center" wrapText="1"/>
    </xf>
    <xf numFmtId="0" fontId="0" fillId="4" borderId="5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0" fontId="0" fillId="4" borderId="6" applyAlignment="1" pivotButton="0" quotePrefix="0" xfId="0">
      <alignment vertical="center" wrapText="1"/>
    </xf>
    <xf numFmtId="0" fontId="0" fillId="4" borderId="13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4" borderId="14" applyAlignment="1" pivotButton="0" quotePrefix="0" xfId="0">
      <alignment vertical="center" wrapText="1"/>
    </xf>
    <xf numFmtId="0" fontId="0" fillId="5" borderId="5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0" fontId="0" fillId="5" borderId="6" applyAlignment="1" pivotButton="0" quotePrefix="0" xfId="0">
      <alignment vertical="center" wrapText="1"/>
    </xf>
    <xf numFmtId="0" fontId="0" fillId="5" borderId="13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0" fillId="5" borderId="14" applyAlignment="1" pivotButton="0" quotePrefix="0" xfId="0">
      <alignment vertical="center" wrapText="1"/>
    </xf>
    <xf numFmtId="0" fontId="0" fillId="6" borderId="5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  <xf numFmtId="0" fontId="0" fillId="6" borderId="6" applyAlignment="1" pivotButton="0" quotePrefix="0" xfId="0">
      <alignment vertical="center" wrapText="1"/>
    </xf>
    <xf numFmtId="0" fontId="0" fillId="6" borderId="13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0" fontId="0" fillId="6" borderId="14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164" fontId="3" fillId="6" borderId="1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164" fontId="4" fillId="4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164" fontId="4" fillId="6" borderId="0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  <xf numFmtId="0" fontId="1" fillId="7" borderId="7" applyAlignment="1" pivotButton="0" quotePrefix="0" xfId="0">
      <alignment vertical="center" wrapText="1"/>
    </xf>
    <xf numFmtId="0" fontId="0" fillId="7" borderId="8" applyAlignment="1" pivotButton="0" quotePrefix="0" xfId="0">
      <alignment vertical="center" wrapText="1"/>
    </xf>
    <xf numFmtId="164" fontId="0" fillId="7" borderId="8" applyAlignment="1" pivotButton="0" quotePrefix="0" xfId="0">
      <alignment vertical="center" wrapText="1"/>
    </xf>
    <xf numFmtId="0" fontId="0" fillId="7" borderId="9" applyAlignment="1" pivotButton="0" quotePrefix="0" xfId="0">
      <alignment vertical="center" wrapText="1"/>
    </xf>
    <xf numFmtId="0" fontId="5" fillId="7" borderId="7" applyAlignment="1" pivotButton="0" quotePrefix="0" xfId="0">
      <alignment vertical="center" wrapText="1"/>
    </xf>
    <xf numFmtId="0" fontId="6" fillId="7" borderId="8" applyAlignment="1" pivotButton="0" quotePrefix="0" xfId="0">
      <alignment vertical="center" wrapText="1"/>
    </xf>
    <xf numFmtId="164" fontId="6" fillId="7" borderId="8" applyAlignment="1" pivotButton="0" quotePrefix="0" xfId="0">
      <alignment vertical="center" wrapText="1"/>
    </xf>
    <xf numFmtId="0" fontId="6" fillId="7" borderId="9" applyAlignment="1" pivotButton="0" quotePrefix="0" xfId="0">
      <alignment vertical="center" wrapText="1"/>
    </xf>
    <xf numFmtId="0" fontId="5" fillId="7" borderId="18" applyAlignment="1" pivotButton="0" quotePrefix="0" xfId="0">
      <alignment vertical="center" wrapText="1"/>
    </xf>
    <xf numFmtId="0" fontId="6" fillId="7" borderId="19" applyAlignment="1" pivotButton="0" quotePrefix="0" xfId="0">
      <alignment vertical="center" wrapText="1"/>
    </xf>
    <xf numFmtId="164" fontId="6" fillId="7" borderId="19" applyAlignment="1" pivotButton="0" quotePrefix="0" xfId="0">
      <alignment vertical="center" wrapText="1"/>
    </xf>
    <xf numFmtId="0" fontId="6" fillId="7" borderId="20" applyAlignment="1" pivotButton="0" quotePrefix="0" xfId="0">
      <alignment vertical="center" wrapText="1"/>
    </xf>
    <xf numFmtId="0" fontId="7" fillId="8" borderId="0" pivotButton="0" quotePrefix="0" xfId="0"/>
    <xf numFmtId="164" fontId="0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164" fontId="0" fillId="0" borderId="0" pivotButton="0" quotePrefix="0" xfId="0"/>
    <xf numFmtId="164" fontId="0" fillId="4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164" fontId="4" fillId="4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164" fontId="4" fillId="6" borderId="0" applyAlignment="1" pivotButton="0" quotePrefix="0" xfId="0">
      <alignment vertical="center" wrapText="1"/>
    </xf>
    <xf numFmtId="165" fontId="0" fillId="0" borderId="0" pivotButton="0" quotePrefix="0" xfId="0"/>
    <xf numFmtId="164" fontId="6" fillId="7" borderId="19" applyAlignment="1" pivotButton="0" quotePrefix="0" xfId="0">
      <alignment vertical="center" wrapText="1"/>
    </xf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164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4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4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164" fontId="0" fillId="6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164" fontId="3" fillId="5" borderId="0" applyAlignment="1" pivotButton="0" quotePrefix="0" xfId="0">
      <alignment vertical="center" wrapText="1"/>
    </xf>
    <xf numFmtId="164" fontId="3" fillId="6" borderId="0" applyAlignment="1" pivotButton="0" quotePrefix="0" xfId="0">
      <alignment vertical="center" wrapText="1"/>
    </xf>
    <xf numFmtId="164" fontId="4" fillId="3" borderId="0" applyAlignment="1" pivotButton="0" quotePrefix="0" xfId="0">
      <alignment vertical="center" wrapText="1"/>
    </xf>
    <xf numFmtId="164" fontId="4" fillId="4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164" fontId="4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164" fontId="0" fillId="7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164" fontId="6" fillId="7" borderId="0" applyAlignment="1" pivotButton="0" quotePrefix="0" xfId="0">
      <alignment vertical="center" wrapText="1"/>
    </xf>
    <xf numFmtId="0" fontId="5" fillId="7" borderId="21" applyAlignment="1" pivotButton="0" quotePrefix="0" xfId="0">
      <alignment vertical="center" wrapText="1"/>
    </xf>
    <xf numFmtId="0" fontId="6" fillId="7" borderId="21" applyAlignment="1" pivotButton="0" quotePrefix="0" xfId="0">
      <alignment vertical="center" wrapText="1"/>
    </xf>
    <xf numFmtId="164" fontId="6" fillId="7" borderId="21" applyAlignment="1" pivotButton="0" quotePrefix="0" xfId="0">
      <alignment vertical="center" wrapText="1"/>
    </xf>
    <xf numFmtId="165" fontId="0" fillId="0" borderId="0" pivotButton="0" quotePrefix="0" xfId="0"/>
    <xf numFmtId="0" fontId="2" fillId="9" borderId="2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9" borderId="4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9" borderId="0" pivotButton="0" quotePrefix="0" xfId="0"/>
    <xf numFmtId="0" fontId="0" fillId="9" borderId="0" pivotButton="0" quotePrefix="0" xfId="0"/>
    <xf numFmtId="0" fontId="8" fillId="9" borderId="0" pivotButton="0" quotePrefix="0" xfId="0"/>
    <xf numFmtId="0" fontId="2" fillId="9" borderId="0" applyAlignment="1" pivotButton="0" quotePrefix="0" xfId="0">
      <alignment wrapText="1"/>
    </xf>
    <xf numFmtId="0" fontId="8" fillId="9" borderId="0" applyAlignment="1" pivotButton="0" quotePrefix="0" xfId="0">
      <alignment wrapText="1"/>
    </xf>
    <xf numFmtId="0" fontId="2" fillId="9" borderId="0" applyAlignment="1" pivotButton="0" quotePrefix="0" xfId="0">
      <alignment horizontal="center" wrapText="1"/>
    </xf>
    <xf numFmtId="0" fontId="8" fillId="9" borderId="0" applyAlignment="1" pivotButton="0" quotePrefix="0" xfId="0">
      <alignment horizontal="center" wrapText="1"/>
    </xf>
    <xf numFmtId="0" fontId="8" fillId="9" borderId="0" applyAlignment="1" pivotButton="0" quotePrefix="0" xfId="0">
      <alignment horizontal="center" vertical="center" wrapText="1"/>
    </xf>
    <xf numFmtId="0" fontId="1" fillId="10" borderId="0" pivotButton="0" quotePrefix="0" xfId="0"/>
    <xf numFmtId="0" fontId="0" fillId="10" borderId="0" pivotButton="0" quotePrefix="0" xfId="0"/>
    <xf numFmtId="0" fontId="9" fillId="10" borderId="0" pivotButton="0" quotePrefix="0" xfId="0"/>
    <xf numFmtId="164" fontId="6" fillId="7" borderId="19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3" borderId="5" applyAlignment="1" pivotButton="0" quotePrefix="0" xfId="0">
      <alignment vertical="center" wrapText="1"/>
    </xf>
    <xf numFmtId="0" fontId="0" fillId="3" borderId="6" applyAlignment="1" pivotButton="0" quotePrefix="0" xfId="0">
      <alignment vertical="center" wrapText="1"/>
    </xf>
    <xf numFmtId="0" fontId="1" fillId="1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4" borderId="5" applyAlignment="1" pivotButton="0" quotePrefix="0" xfId="0">
      <alignment vertical="center" wrapText="1"/>
    </xf>
    <xf numFmtId="0" fontId="0" fillId="4" borderId="6" applyAlignment="1" pivotButton="0" quotePrefix="0" xfId="0">
      <alignment vertical="center" wrapText="1"/>
    </xf>
    <xf numFmtId="0" fontId="0" fillId="5" borderId="5" applyAlignment="1" pivotButton="0" quotePrefix="0" xfId="0">
      <alignment vertical="center" wrapText="1"/>
    </xf>
    <xf numFmtId="0" fontId="0" fillId="5" borderId="6" applyAlignment="1" pivotButton="0" quotePrefix="0" xfId="0">
      <alignment vertical="center" wrapText="1"/>
    </xf>
    <xf numFmtId="0" fontId="0" fillId="6" borderId="5" applyAlignment="1" pivotButton="0" quotePrefix="0" xfId="0">
      <alignment vertical="center" wrapText="1"/>
    </xf>
    <xf numFmtId="0" fontId="0" fillId="6" borderId="6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0" fontId="9" fillId="10" borderId="0" applyAlignment="1" pivotButton="0" quotePrefix="0" xfId="0">
      <alignment wrapText="1"/>
    </xf>
    <xf numFmtId="0" fontId="5" fillId="7" borderId="18" applyAlignment="1" pivotButton="0" quotePrefix="0" xfId="0">
      <alignment vertical="center" wrapText="1"/>
    </xf>
    <xf numFmtId="0" fontId="6" fillId="7" borderId="19" applyAlignment="1" pivotButton="0" quotePrefix="0" xfId="0">
      <alignment vertical="center" wrapText="1"/>
    </xf>
    <xf numFmtId="0" fontId="6" fillId="7" borderId="20" applyAlignment="1" pivotButton="0" quotePrefix="0" xfId="0">
      <alignment vertical="center" wrapText="1"/>
    </xf>
    <xf numFmtId="166" fontId="0" fillId="0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horizontal="center"/>
    </xf>
    <xf numFmtId="0" fontId="10" fillId="9" borderId="0" applyAlignment="1" pivotButton="0" quotePrefix="0" xfId="0">
      <alignment horizontal="center" vertical="center"/>
    </xf>
    <xf numFmtId="0" fontId="0" fillId="11" borderId="0" pivotButton="0" quotePrefix="0" xfId="0"/>
    <xf numFmtId="0" fontId="2" fillId="9" borderId="17" applyAlignment="1" pivotButton="0" quotePrefix="0" xfId="0">
      <alignment horizontal="center" vertical="center" wrapText="1"/>
    </xf>
    <xf numFmtId="166" fontId="0" fillId="0" borderId="0" pivotButton="0" quotePrefix="0" xfId="0"/>
    <xf numFmtId="0" fontId="10" fillId="9" borderId="17" applyAlignment="1" pivotButton="0" quotePrefix="0" xfId="0">
      <alignment horizontal="center" vertical="center"/>
    </xf>
  </cellXfs>
  <cellStyles count="1">
    <cellStyle name="Normal" xfId="0"/>
  </cellStyles>
  <dxfs count="5">
    <dxf>
      <fill>
        <patternFill patternType="solid">
          <bgColor rgb="FFE7E6E6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Items by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'Dashboard'!$D$5:$D$9</f>
              <strCache>
                <ptCount val="0"/>
              </strCache>
            </strRef>
          </cat>
          <val>
            <numRef>
              <f>'Dashboard'!$E$5:$E$9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11</row>
      <rowOff>0</rowOff>
    </from>
    <to>
      <col>8</col>
      <colOff>0</colOff>
      <row>28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stsTable" displayName="CostsTable" ref="A1:I100" headerRowCount="1">
  <tableColumns count="9">
    <tableColumn id="1" name="Contractor / Supplier"/>
    <tableColumn id="2" name="Trade"/>
    <tableColumn id="3" name="Quote 1 (£)"/>
    <tableColumn id="4" name="Quote 2 (£)"/>
    <tableColumn id="5" name="Total Quoted (£)"/>
    <tableColumn id="6" name="Paid (£)"/>
    <tableColumn id="7" name="Balance (£)"/>
    <tableColumn id="8" name="Status"/>
    <tableColumn id="9" name="Notes"/>
  </tableColumns>
  <tableStyleInfo name="TableStyleMedium2" showRowStripes="1"/>
</table>
</file>

<file path=xl/tables/table2.xml><?xml version="1.0" encoding="utf-8"?>
<table xmlns="http://schemas.openxmlformats.org/spreadsheetml/2006/main" id="2" name="PaymentsTable" displayName="PaymentsTable" ref="A1:H200" headerRowCount="1">
  <tableColumns count="8">
    <tableColumn id="1" name="Date"/>
    <tableColumn id="2" name="Contractor / Supplier"/>
    <tableColumn id="3" name="Trade"/>
    <tableColumn id="4" name="Description"/>
    <tableColumn id="5" name="Amount Paid (£)"/>
    <tableColumn id="6" name="Payment Method"/>
    <tableColumn id="7" name="Invoice / Receipt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MaterialsTable" displayName="MaterialsTable" ref="A1:J200" headerRowCount="1">
  <tableColumns count="10">
    <tableColumn id="1" name="Date"/>
    <tableColumn id="2" name="Room / Area"/>
    <tableColumn id="3" name="Item"/>
    <tableColumn id="4" name="Supplier"/>
    <tableColumn id="5" name="Quantity"/>
    <tableColumn id="6" name="Unit Cost (£)"/>
    <tableColumn id="7" name="Total Cost (£)"/>
    <tableColumn id="8" name="Paid (£)"/>
    <tableColumn id="9" name="Balance (£)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23" customWidth="1" style="143" min="1" max="1"/>
    <col width="21" customWidth="1" style="143" min="2" max="2"/>
    <col width="14" customWidth="1" style="143" min="3" max="3"/>
    <col width="14" customWidth="1" style="143" min="4" max="4"/>
    <col width="14" customWidth="1" style="143" min="5" max="5"/>
    <col width="14" customWidth="1" style="143" min="6" max="6"/>
    <col width="14" customWidth="1" style="143" min="7" max="7"/>
    <col width="18" customWidth="1" style="143" min="8" max="8"/>
    <col width="28" customWidth="1" style="143" min="9" max="9"/>
    <col width="20" customWidth="1" style="143" min="11" max="11"/>
    <col width="16" customWidth="1" style="143" min="12" max="12"/>
  </cols>
  <sheetData>
    <row r="1" ht="30" customHeight="1" s="143">
      <c r="A1" s="183" t="inlineStr">
        <is>
          <t>Contractor / Supplier</t>
        </is>
      </c>
      <c r="B1" s="184" t="inlineStr">
        <is>
          <t>Trade</t>
        </is>
      </c>
      <c r="C1" s="184" t="inlineStr">
        <is>
          <t>Quote 1 (£)</t>
        </is>
      </c>
      <c r="D1" s="184" t="inlineStr">
        <is>
          <t>Quote 2 (£)</t>
        </is>
      </c>
      <c r="E1" s="184" t="inlineStr">
        <is>
          <t>Total Quoted (£)</t>
        </is>
      </c>
      <c r="F1" s="184" t="inlineStr">
        <is>
          <t>Paid (£)</t>
        </is>
      </c>
      <c r="G1" s="184" t="inlineStr">
        <is>
          <t>Balance (£)</t>
        </is>
      </c>
      <c r="H1" s="184" t="inlineStr">
        <is>
          <t>Status</t>
        </is>
      </c>
      <c r="I1" s="185" t="inlineStr">
        <is>
          <t>Notes</t>
        </is>
      </c>
      <c r="J1" s="199" t="n"/>
      <c r="K1" s="220" t="inlineStr">
        <is>
          <t>Running Totals</t>
        </is>
      </c>
      <c r="L1" s="34" t="n"/>
    </row>
    <row r="2">
      <c r="A2" s="200" t="inlineStr">
        <is>
          <t>Martin</t>
        </is>
      </c>
      <c r="B2" s="157" t="inlineStr">
        <is>
          <t>Builder</t>
        </is>
      </c>
      <c r="C2" s="158" t="n">
        <v>3100</v>
      </c>
      <c r="D2" s="158" t="n">
        <v>280</v>
      </c>
      <c r="E2" s="158">
        <f>SUM(C2:D2)</f>
        <v/>
      </c>
      <c r="F2" s="165" t="n">
        <v>0</v>
      </c>
      <c r="G2" s="169">
        <f>E2-F2</f>
        <v/>
      </c>
      <c r="H2" s="157" t="inlineStr">
        <is>
          <t>Quoted</t>
        </is>
      </c>
      <c r="I2" s="201" t="str"/>
      <c r="J2" s="199" t="n"/>
      <c r="K2" s="202" t="inlineStr">
        <is>
          <t>Total Quoted</t>
        </is>
      </c>
      <c r="L2" s="203">
        <f>SUM(E2:E100)</f>
        <v/>
      </c>
    </row>
    <row r="3">
      <c r="A3" s="204" t="inlineStr">
        <is>
          <t>Jason</t>
        </is>
      </c>
      <c r="B3" s="159" t="inlineStr">
        <is>
          <t>Carpets</t>
        </is>
      </c>
      <c r="C3" s="160" t="n">
        <v>340</v>
      </c>
      <c r="D3" s="160" t="n"/>
      <c r="E3" s="160">
        <f>SUM(C3:D3)</f>
        <v/>
      </c>
      <c r="F3" s="166" t="n">
        <v>70</v>
      </c>
      <c r="G3" s="170">
        <f>E3-F3</f>
        <v/>
      </c>
      <c r="H3" s="159" t="inlineStr">
        <is>
          <t>Part paid</t>
        </is>
      </c>
      <c r="I3" s="205" t="inlineStr">
        <is>
          <t>Carpets already purchased</t>
        </is>
      </c>
      <c r="J3" s="199" t="n"/>
      <c r="K3" s="202" t="inlineStr">
        <is>
          <t>Total Paid</t>
        </is>
      </c>
      <c r="L3" s="203">
        <f>SUM(F2:F100)</f>
        <v/>
      </c>
    </row>
    <row r="4">
      <c r="A4" s="206" t="inlineStr">
        <is>
          <t>Building Regulations</t>
        </is>
      </c>
      <c r="B4" s="161" t="inlineStr">
        <is>
          <t>Fees</t>
        </is>
      </c>
      <c r="C4" s="162" t="n">
        <v>650</v>
      </c>
      <c r="D4" s="162" t="n"/>
      <c r="E4" s="162">
        <f>SUM(C4:D4)</f>
        <v/>
      </c>
      <c r="F4" s="167" t="n">
        <v>0</v>
      </c>
      <c r="G4" s="171">
        <f>E4-F4</f>
        <v/>
      </c>
      <c r="H4" s="161" t="inlineStr">
        <is>
          <t>Outstanding</t>
        </is>
      </c>
      <c r="I4" s="207" t="str"/>
      <c r="J4" s="199" t="n"/>
      <c r="K4" s="202" t="inlineStr">
        <is>
          <t>Balance Remaining</t>
        </is>
      </c>
      <c r="L4" s="203">
        <f>L2-L3</f>
        <v/>
      </c>
    </row>
    <row r="5">
      <c r="A5" s="208" t="inlineStr">
        <is>
          <t>Ian</t>
        </is>
      </c>
      <c r="B5" s="163" t="inlineStr">
        <is>
          <t>Painter &amp; Decorator</t>
        </is>
      </c>
      <c r="C5" s="164" t="n"/>
      <c r="D5" s="164" t="n"/>
      <c r="E5" s="164">
        <f>SUM(C5:D5)</f>
        <v/>
      </c>
      <c r="F5" s="168" t="n">
        <v>0</v>
      </c>
      <c r="G5" s="172">
        <f>E5-F5</f>
        <v/>
      </c>
      <c r="H5" s="163" t="inlineStr">
        <is>
          <t>Awaiting quote</t>
        </is>
      </c>
      <c r="I5" s="209" t="str"/>
      <c r="J5" s="199" t="n"/>
      <c r="K5" s="202" t="inlineStr">
        <is>
          <t>Paid %</t>
        </is>
      </c>
      <c r="L5" s="210">
        <f>IF(L2=0,0,L3/L2)</f>
        <v/>
      </c>
    </row>
    <row r="6">
      <c r="A6" s="208" t="inlineStr">
        <is>
          <t>Brett</t>
        </is>
      </c>
      <c r="B6" s="163" t="inlineStr">
        <is>
          <t>Electrics</t>
        </is>
      </c>
      <c r="C6" s="164" t="n"/>
      <c r="D6" s="164" t="n"/>
      <c r="E6" s="164">
        <f>SUM(C6:D6)</f>
        <v/>
      </c>
      <c r="F6" s="168" t="n">
        <v>0</v>
      </c>
      <c r="G6" s="172">
        <f>E6-F6</f>
        <v/>
      </c>
      <c r="H6" s="163" t="inlineStr">
        <is>
          <t>Awaiting quote</t>
        </is>
      </c>
      <c r="I6" s="209" t="str"/>
      <c r="J6" s="199" t="n"/>
      <c r="K6" s="211" t="inlineStr">
        <is>
          <t>Quotes Awaiting</t>
        </is>
      </c>
      <c r="L6" s="199">
        <f>COUNTIF(H2:H100,"Awaiting quote")</f>
        <v/>
      </c>
    </row>
    <row r="7">
      <c r="A7" s="208" t="inlineStr">
        <is>
          <t>Richard</t>
        </is>
      </c>
      <c r="B7" s="163" t="inlineStr">
        <is>
          <t>Woodwork</t>
        </is>
      </c>
      <c r="C7" s="164" t="n"/>
      <c r="D7" s="164" t="n"/>
      <c r="E7" s="164">
        <f>SUM(C7:D7)</f>
        <v/>
      </c>
      <c r="F7" s="168" t="n">
        <v>0</v>
      </c>
      <c r="G7" s="172">
        <f>E7-F7</f>
        <v/>
      </c>
      <c r="H7" s="163" t="inlineStr">
        <is>
          <t>Awaiting quote</t>
        </is>
      </c>
      <c r="I7" s="209" t="str"/>
      <c r="J7" s="199" t="n"/>
      <c r="K7" s="199" t="n"/>
      <c r="L7" s="199" t="n"/>
    </row>
    <row r="8">
      <c r="A8" s="208" t="inlineStr">
        <is>
          <t>Scott</t>
        </is>
      </c>
      <c r="B8" s="163" t="inlineStr">
        <is>
          <t>Plasterer</t>
        </is>
      </c>
      <c r="C8" s="164" t="n"/>
      <c r="D8" s="164" t="n"/>
      <c r="E8" s="164">
        <f>SUM(C8:D8)</f>
        <v/>
      </c>
      <c r="F8" s="168" t="n">
        <v>0</v>
      </c>
      <c r="G8" s="172">
        <f>E8-F8</f>
        <v/>
      </c>
      <c r="H8" s="163" t="inlineStr">
        <is>
          <t>Awaiting quote</t>
        </is>
      </c>
      <c r="I8" s="209" t="str"/>
      <c r="J8" s="199" t="n"/>
      <c r="K8" s="199" t="n"/>
      <c r="L8" s="199" t="n"/>
    </row>
    <row r="9">
      <c r="A9" s="212" t="inlineStr">
        <is>
          <t>Skip Hire</t>
        </is>
      </c>
      <c r="B9" s="213" t="inlineStr">
        <is>
          <t>Waste Removal</t>
        </is>
      </c>
      <c r="C9" s="198" t="n">
        <v>335</v>
      </c>
      <c r="D9" s="198" t="n"/>
      <c r="E9" s="198">
        <f>SUM(C9:D9)</f>
        <v/>
      </c>
      <c r="F9" s="198" t="n">
        <v>0</v>
      </c>
      <c r="G9" s="198">
        <f>E9-F9</f>
        <v/>
      </c>
      <c r="H9" s="213" t="inlineStr">
        <is>
          <t>Outstanding</t>
        </is>
      </c>
      <c r="I9" s="214" t="inlineStr">
        <is>
          <t>Pay driver on the day</t>
        </is>
      </c>
      <c r="J9" s="199" t="n"/>
      <c r="K9" s="199" t="n"/>
      <c r="L9" s="199" t="n"/>
    </row>
    <row r="10">
      <c r="A10" s="199" t="n"/>
      <c r="B10" s="199" t="n"/>
      <c r="C10" s="203" t="n"/>
      <c r="D10" s="203" t="n"/>
      <c r="E10" s="203">
        <f>SUM(C10:D10)</f>
        <v/>
      </c>
      <c r="F10" s="203" t="n"/>
      <c r="G10" s="203">
        <f>E10-F10</f>
        <v/>
      </c>
      <c r="H10" s="199" t="n"/>
      <c r="I10" s="199" t="n"/>
      <c r="J10" s="199" t="n"/>
      <c r="K10" s="199" t="n"/>
      <c r="L10" s="199" t="n"/>
    </row>
    <row r="11">
      <c r="A11" s="199" t="n"/>
      <c r="B11" s="199" t="n"/>
      <c r="C11" s="203" t="n"/>
      <c r="D11" s="203" t="n"/>
      <c r="E11" s="203">
        <f>SUM(C11:D11)</f>
        <v/>
      </c>
      <c r="F11" s="203" t="n"/>
      <c r="G11" s="203">
        <f>E11-F11</f>
        <v/>
      </c>
      <c r="H11" s="199" t="n"/>
      <c r="I11" s="199" t="n"/>
      <c r="J11" s="199" t="n"/>
      <c r="K11" s="199" t="n"/>
      <c r="L11" s="199" t="n"/>
    </row>
    <row r="12">
      <c r="A12" s="199" t="n"/>
      <c r="B12" s="199" t="n"/>
      <c r="C12" s="203" t="n"/>
      <c r="D12" s="203" t="n"/>
      <c r="E12" s="203">
        <f>SUM(C12:D12)</f>
        <v/>
      </c>
      <c r="F12" s="203" t="n"/>
      <c r="G12" s="203">
        <f>E12-F12</f>
        <v/>
      </c>
      <c r="H12" s="199" t="n"/>
      <c r="I12" s="199" t="n"/>
      <c r="J12" s="199" t="n"/>
      <c r="K12" s="199" t="n"/>
      <c r="L12" s="199" t="n"/>
    </row>
    <row r="13">
      <c r="A13" s="199" t="n"/>
      <c r="B13" s="199" t="n"/>
      <c r="C13" s="203" t="n"/>
      <c r="D13" s="203" t="n"/>
      <c r="E13" s="203">
        <f>SUM(C13:D13)</f>
        <v/>
      </c>
      <c r="F13" s="203" t="n"/>
      <c r="G13" s="203">
        <f>E13-F13</f>
        <v/>
      </c>
      <c r="H13" s="199" t="n"/>
      <c r="I13" s="199" t="n"/>
      <c r="J13" s="199" t="n"/>
      <c r="K13" s="199" t="n"/>
      <c r="L13" s="199" t="n"/>
    </row>
    <row r="14">
      <c r="A14" s="199" t="n"/>
      <c r="B14" s="199" t="n"/>
      <c r="C14" s="203" t="n"/>
      <c r="D14" s="203" t="n"/>
      <c r="E14" s="203">
        <f>SUM(C14:D14)</f>
        <v/>
      </c>
      <c r="F14" s="203" t="n"/>
      <c r="G14" s="203">
        <f>E14-F14</f>
        <v/>
      </c>
      <c r="H14" s="199" t="n"/>
      <c r="I14" s="199" t="n"/>
      <c r="J14" s="199" t="n"/>
      <c r="K14" s="199" t="n"/>
      <c r="L14" s="199" t="n"/>
    </row>
    <row r="15">
      <c r="A15" s="199" t="n"/>
      <c r="B15" s="199" t="n"/>
      <c r="C15" s="203" t="n"/>
      <c r="D15" s="203" t="n"/>
      <c r="E15" s="203">
        <f>SUM(C15:D15)</f>
        <v/>
      </c>
      <c r="F15" s="203" t="n"/>
      <c r="G15" s="203">
        <f>E15-F15</f>
        <v/>
      </c>
      <c r="H15" s="199" t="n"/>
      <c r="I15" s="199" t="n"/>
      <c r="J15" s="199" t="n"/>
      <c r="K15" s="199" t="n"/>
      <c r="L15" s="199" t="n"/>
    </row>
    <row r="16">
      <c r="A16" s="199" t="n"/>
      <c r="B16" s="199" t="n"/>
      <c r="C16" s="203" t="n"/>
      <c r="D16" s="203" t="n"/>
      <c r="E16" s="203">
        <f>SUM(C16:D16)</f>
        <v/>
      </c>
      <c r="F16" s="203" t="n"/>
      <c r="G16" s="203">
        <f>E16-F16</f>
        <v/>
      </c>
      <c r="H16" s="199" t="n"/>
      <c r="I16" s="199" t="n"/>
      <c r="J16" s="199" t="n"/>
      <c r="K16" s="199" t="n"/>
      <c r="L16" s="199" t="n"/>
    </row>
    <row r="17">
      <c r="A17" s="199" t="n"/>
      <c r="B17" s="199" t="n"/>
      <c r="C17" s="203" t="n"/>
      <c r="D17" s="203" t="n"/>
      <c r="E17" s="203">
        <f>SUM(C17:D17)</f>
        <v/>
      </c>
      <c r="F17" s="203" t="n"/>
      <c r="G17" s="203">
        <f>E17-F17</f>
        <v/>
      </c>
      <c r="H17" s="199" t="n"/>
      <c r="I17" s="199" t="n"/>
      <c r="J17" s="199" t="n"/>
      <c r="K17" s="199" t="n"/>
      <c r="L17" s="199" t="n"/>
    </row>
    <row r="18">
      <c r="A18" s="199" t="n"/>
      <c r="B18" s="199" t="n"/>
      <c r="C18" s="203" t="n"/>
      <c r="D18" s="203" t="n"/>
      <c r="E18" s="203">
        <f>SUM(C18:D18)</f>
        <v/>
      </c>
      <c r="F18" s="203" t="n"/>
      <c r="G18" s="203">
        <f>E18-F18</f>
        <v/>
      </c>
      <c r="H18" s="199" t="n"/>
      <c r="I18" s="199" t="n"/>
      <c r="J18" s="199" t="n"/>
      <c r="K18" s="199" t="n"/>
      <c r="L18" s="199" t="n"/>
    </row>
    <row r="19">
      <c r="A19" s="199" t="n"/>
      <c r="B19" s="199" t="n"/>
      <c r="C19" s="203" t="n"/>
      <c r="D19" s="203" t="n"/>
      <c r="E19" s="203">
        <f>SUM(C19:D19)</f>
        <v/>
      </c>
      <c r="F19" s="203" t="n"/>
      <c r="G19" s="203">
        <f>E19-F19</f>
        <v/>
      </c>
      <c r="H19" s="199" t="n"/>
      <c r="I19" s="199" t="n"/>
      <c r="J19" s="199" t="n"/>
      <c r="K19" s="199" t="n"/>
      <c r="L19" s="199" t="n"/>
    </row>
    <row r="20">
      <c r="A20" s="199" t="n"/>
      <c r="B20" s="199" t="n"/>
      <c r="C20" s="203" t="n"/>
      <c r="D20" s="203" t="n"/>
      <c r="E20" s="203">
        <f>SUM(C20:D20)</f>
        <v/>
      </c>
      <c r="F20" s="203" t="n"/>
      <c r="G20" s="203">
        <f>E20-F20</f>
        <v/>
      </c>
      <c r="H20" s="199" t="n"/>
      <c r="I20" s="199" t="n"/>
      <c r="J20" s="199" t="n"/>
      <c r="K20" s="199" t="n"/>
      <c r="L20" s="199" t="n"/>
    </row>
    <row r="21">
      <c r="A21" s="199" t="n"/>
      <c r="B21" s="199" t="n"/>
      <c r="C21" s="203" t="n"/>
      <c r="D21" s="203" t="n"/>
      <c r="E21" s="203">
        <f>SUM(C21:D21)</f>
        <v/>
      </c>
      <c r="F21" s="203" t="n"/>
      <c r="G21" s="203">
        <f>E21-F21</f>
        <v/>
      </c>
      <c r="H21" s="199" t="n"/>
      <c r="I21" s="199" t="n"/>
      <c r="J21" s="199" t="n"/>
      <c r="K21" s="199" t="n"/>
      <c r="L21" s="199" t="n"/>
    </row>
    <row r="22">
      <c r="A22" s="199" t="n"/>
      <c r="B22" s="199" t="n"/>
      <c r="C22" s="203" t="n"/>
      <c r="D22" s="203" t="n"/>
      <c r="E22" s="203">
        <f>SUM(C22:D22)</f>
        <v/>
      </c>
      <c r="F22" s="203" t="n"/>
      <c r="G22" s="203">
        <f>E22-F22</f>
        <v/>
      </c>
      <c r="H22" s="199" t="n"/>
      <c r="I22" s="199" t="n"/>
      <c r="J22" s="199" t="n"/>
      <c r="K22" s="199" t="n"/>
      <c r="L22" s="199" t="n"/>
    </row>
    <row r="23">
      <c r="A23" s="199" t="n"/>
      <c r="B23" s="199" t="n"/>
      <c r="C23" s="203" t="n"/>
      <c r="D23" s="203" t="n"/>
      <c r="E23" s="203">
        <f>SUM(C23:D23)</f>
        <v/>
      </c>
      <c r="F23" s="203" t="n"/>
      <c r="G23" s="203">
        <f>E23-F23</f>
        <v/>
      </c>
      <c r="H23" s="199" t="n"/>
      <c r="I23" s="199" t="n"/>
      <c r="J23" s="199" t="n"/>
      <c r="K23" s="199" t="n"/>
      <c r="L23" s="199" t="n"/>
    </row>
    <row r="24">
      <c r="A24" s="199" t="n"/>
      <c r="B24" s="199" t="n"/>
      <c r="C24" s="203" t="n"/>
      <c r="D24" s="203" t="n"/>
      <c r="E24" s="203">
        <f>SUM(C24:D24)</f>
        <v/>
      </c>
      <c r="F24" s="203" t="n"/>
      <c r="G24" s="203">
        <f>E24-F24</f>
        <v/>
      </c>
      <c r="H24" s="199" t="n"/>
      <c r="I24" s="199" t="n"/>
      <c r="J24" s="199" t="n"/>
      <c r="K24" s="199" t="n"/>
      <c r="L24" s="199" t="n"/>
    </row>
    <row r="25">
      <c r="A25" s="199" t="n"/>
      <c r="B25" s="199" t="n"/>
      <c r="C25" s="203" t="n"/>
      <c r="D25" s="203" t="n"/>
      <c r="E25" s="203">
        <f>SUM(C25:D25)</f>
        <v/>
      </c>
      <c r="F25" s="203" t="n"/>
      <c r="G25" s="203">
        <f>E25-F25</f>
        <v/>
      </c>
      <c r="H25" s="199" t="n"/>
      <c r="I25" s="199" t="n"/>
      <c r="J25" s="199" t="n"/>
      <c r="K25" s="199" t="n"/>
      <c r="L25" s="199" t="n"/>
    </row>
    <row r="26">
      <c r="A26" s="199" t="n"/>
      <c r="B26" s="199" t="n"/>
      <c r="C26" s="203" t="n"/>
      <c r="D26" s="203" t="n"/>
      <c r="E26" s="203">
        <f>SUM(C26:D26)</f>
        <v/>
      </c>
      <c r="F26" s="203" t="n"/>
      <c r="G26" s="203">
        <f>E26-F26</f>
        <v/>
      </c>
      <c r="H26" s="199" t="n"/>
      <c r="I26" s="199" t="n"/>
      <c r="J26" s="199" t="n"/>
      <c r="K26" s="199" t="n"/>
      <c r="L26" s="199" t="n"/>
    </row>
    <row r="27">
      <c r="A27" s="199" t="n"/>
      <c r="B27" s="199" t="n"/>
      <c r="C27" s="203" t="n"/>
      <c r="D27" s="203" t="n"/>
      <c r="E27" s="203">
        <f>SUM(C27:D27)</f>
        <v/>
      </c>
      <c r="F27" s="203" t="n"/>
      <c r="G27" s="203">
        <f>E27-F27</f>
        <v/>
      </c>
      <c r="H27" s="199" t="n"/>
      <c r="I27" s="199" t="n"/>
      <c r="J27" s="199" t="n"/>
      <c r="K27" s="199" t="n"/>
      <c r="L27" s="199" t="n"/>
    </row>
    <row r="28">
      <c r="A28" s="199" t="n"/>
      <c r="B28" s="199" t="n"/>
      <c r="C28" s="203" t="n"/>
      <c r="D28" s="203" t="n"/>
      <c r="E28" s="203">
        <f>SUM(C28:D28)</f>
        <v/>
      </c>
      <c r="F28" s="203" t="n"/>
      <c r="G28" s="203">
        <f>E28-F28</f>
        <v/>
      </c>
      <c r="H28" s="199" t="n"/>
      <c r="I28" s="199" t="n"/>
      <c r="J28" s="199" t="n"/>
      <c r="K28" s="199" t="n"/>
      <c r="L28" s="199" t="n"/>
    </row>
    <row r="29">
      <c r="A29" s="199" t="n"/>
      <c r="B29" s="199" t="n"/>
      <c r="C29" s="203" t="n"/>
      <c r="D29" s="203" t="n"/>
      <c r="E29" s="203">
        <f>SUM(C29:D29)</f>
        <v/>
      </c>
      <c r="F29" s="203" t="n"/>
      <c r="G29" s="203">
        <f>E29-F29</f>
        <v/>
      </c>
      <c r="H29" s="199" t="n"/>
      <c r="I29" s="199" t="n"/>
      <c r="J29" s="199" t="n"/>
      <c r="K29" s="199" t="n"/>
      <c r="L29" s="199" t="n"/>
    </row>
    <row r="30">
      <c r="A30" s="199" t="n"/>
      <c r="B30" s="199" t="n"/>
      <c r="C30" s="203" t="n"/>
      <c r="D30" s="203" t="n"/>
      <c r="E30" s="203">
        <f>SUM(C30:D30)</f>
        <v/>
      </c>
      <c r="F30" s="203" t="n"/>
      <c r="G30" s="203">
        <f>E30-F30</f>
        <v/>
      </c>
      <c r="H30" s="199" t="n"/>
      <c r="I30" s="199" t="n"/>
      <c r="J30" s="199" t="n"/>
      <c r="K30" s="199" t="n"/>
      <c r="L30" s="199" t="n"/>
    </row>
    <row r="31">
      <c r="A31" s="199" t="n"/>
      <c r="B31" s="199" t="n"/>
      <c r="C31" s="203" t="n"/>
      <c r="D31" s="203" t="n"/>
      <c r="E31" s="203">
        <f>SUM(C31:D31)</f>
        <v/>
      </c>
      <c r="F31" s="203" t="n"/>
      <c r="G31" s="203">
        <f>E31-F31</f>
        <v/>
      </c>
      <c r="H31" s="199" t="n"/>
      <c r="I31" s="199" t="n"/>
      <c r="J31" s="199" t="n"/>
      <c r="K31" s="199" t="n"/>
      <c r="L31" s="199" t="n"/>
    </row>
    <row r="32">
      <c r="A32" s="199" t="n"/>
      <c r="B32" s="199" t="n"/>
      <c r="C32" s="203" t="n"/>
      <c r="D32" s="203" t="n"/>
      <c r="E32" s="203">
        <f>SUM(C32:D32)</f>
        <v/>
      </c>
      <c r="F32" s="203" t="n"/>
      <c r="G32" s="203">
        <f>E32-F32</f>
        <v/>
      </c>
      <c r="H32" s="199" t="n"/>
      <c r="I32" s="199" t="n"/>
      <c r="J32" s="199" t="n"/>
      <c r="K32" s="199" t="n"/>
      <c r="L32" s="199" t="n"/>
    </row>
    <row r="33">
      <c r="A33" s="199" t="n"/>
      <c r="B33" s="199" t="n"/>
      <c r="C33" s="203" t="n"/>
      <c r="D33" s="203" t="n"/>
      <c r="E33" s="203">
        <f>SUM(C33:D33)</f>
        <v/>
      </c>
      <c r="F33" s="203" t="n"/>
      <c r="G33" s="203">
        <f>E33-F33</f>
        <v/>
      </c>
      <c r="H33" s="199" t="n"/>
      <c r="I33" s="199" t="n"/>
      <c r="J33" s="199" t="n"/>
      <c r="K33" s="199" t="n"/>
      <c r="L33" s="199" t="n"/>
    </row>
    <row r="34">
      <c r="A34" s="199" t="n"/>
      <c r="B34" s="199" t="n"/>
      <c r="C34" s="203" t="n"/>
      <c r="D34" s="203" t="n"/>
      <c r="E34" s="203">
        <f>SUM(C34:D34)</f>
        <v/>
      </c>
      <c r="F34" s="203" t="n"/>
      <c r="G34" s="203">
        <f>E34-F34</f>
        <v/>
      </c>
      <c r="H34" s="199" t="n"/>
      <c r="I34" s="199" t="n"/>
      <c r="J34" s="199" t="n"/>
      <c r="K34" s="199" t="n"/>
      <c r="L34" s="199" t="n"/>
    </row>
    <row r="35">
      <c r="A35" s="199" t="n"/>
      <c r="B35" s="199" t="n"/>
      <c r="C35" s="203" t="n"/>
      <c r="D35" s="203" t="n"/>
      <c r="E35" s="203">
        <f>SUM(C35:D35)</f>
        <v/>
      </c>
      <c r="F35" s="203" t="n"/>
      <c r="G35" s="203">
        <f>E35-F35</f>
        <v/>
      </c>
      <c r="H35" s="199" t="n"/>
      <c r="I35" s="199" t="n"/>
      <c r="J35" s="199" t="n"/>
      <c r="K35" s="199" t="n"/>
      <c r="L35" s="199" t="n"/>
    </row>
    <row r="36">
      <c r="A36" s="199" t="n"/>
      <c r="B36" s="199" t="n"/>
      <c r="C36" s="203" t="n"/>
      <c r="D36" s="203" t="n"/>
      <c r="E36" s="203">
        <f>SUM(C36:D36)</f>
        <v/>
      </c>
      <c r="F36" s="203" t="n"/>
      <c r="G36" s="203">
        <f>E36-F36</f>
        <v/>
      </c>
      <c r="H36" s="199" t="n"/>
      <c r="I36" s="199" t="n"/>
      <c r="J36" s="199" t="n"/>
      <c r="K36" s="199" t="n"/>
      <c r="L36" s="199" t="n"/>
    </row>
    <row r="37">
      <c r="A37" s="199" t="n"/>
      <c r="B37" s="199" t="n"/>
      <c r="C37" s="203" t="n"/>
      <c r="D37" s="203" t="n"/>
      <c r="E37" s="203">
        <f>SUM(C37:D37)</f>
        <v/>
      </c>
      <c r="F37" s="203" t="n"/>
      <c r="G37" s="203">
        <f>E37-F37</f>
        <v/>
      </c>
      <c r="H37" s="199" t="n"/>
      <c r="I37" s="199" t="n"/>
      <c r="J37" s="199" t="n"/>
      <c r="K37" s="199" t="n"/>
      <c r="L37" s="199" t="n"/>
    </row>
    <row r="38">
      <c r="A38" s="199" t="n"/>
      <c r="B38" s="199" t="n"/>
      <c r="C38" s="203" t="n"/>
      <c r="D38" s="203" t="n"/>
      <c r="E38" s="203">
        <f>SUM(C38:D38)</f>
        <v/>
      </c>
      <c r="F38" s="203" t="n"/>
      <c r="G38" s="203">
        <f>E38-F38</f>
        <v/>
      </c>
      <c r="H38" s="199" t="n"/>
      <c r="I38" s="199" t="n"/>
      <c r="J38" s="199" t="n"/>
      <c r="K38" s="199" t="n"/>
      <c r="L38" s="199" t="n"/>
    </row>
    <row r="39">
      <c r="A39" s="199" t="n"/>
      <c r="B39" s="199" t="n"/>
      <c r="C39" s="203" t="n"/>
      <c r="D39" s="203" t="n"/>
      <c r="E39" s="203">
        <f>SUM(C39:D39)</f>
        <v/>
      </c>
      <c r="F39" s="203" t="n"/>
      <c r="G39" s="203">
        <f>E39-F39</f>
        <v/>
      </c>
      <c r="H39" s="199" t="n"/>
      <c r="I39" s="199" t="n"/>
      <c r="J39" s="199" t="n"/>
      <c r="K39" s="199" t="n"/>
      <c r="L39" s="199" t="n"/>
    </row>
    <row r="40">
      <c r="A40" s="199" t="n"/>
      <c r="B40" s="199" t="n"/>
      <c r="C40" s="203" t="n"/>
      <c r="D40" s="203" t="n"/>
      <c r="E40" s="203">
        <f>SUM(C40:D40)</f>
        <v/>
      </c>
      <c r="F40" s="203" t="n"/>
      <c r="G40" s="203">
        <f>E40-F40</f>
        <v/>
      </c>
      <c r="H40" s="199" t="n"/>
      <c r="I40" s="199" t="n"/>
      <c r="J40" s="199" t="n"/>
      <c r="K40" s="199" t="n"/>
      <c r="L40" s="199" t="n"/>
    </row>
    <row r="41">
      <c r="A41" s="199" t="n"/>
      <c r="B41" s="199" t="n"/>
      <c r="C41" s="203" t="n"/>
      <c r="D41" s="203" t="n"/>
      <c r="E41" s="203">
        <f>SUM(C41:D41)</f>
        <v/>
      </c>
      <c r="F41" s="203" t="n"/>
      <c r="G41" s="203">
        <f>E41-F41</f>
        <v/>
      </c>
      <c r="H41" s="199" t="n"/>
      <c r="I41" s="199" t="n"/>
      <c r="J41" s="199" t="n"/>
      <c r="K41" s="199" t="n"/>
      <c r="L41" s="199" t="n"/>
    </row>
    <row r="42">
      <c r="A42" s="199" t="n"/>
      <c r="B42" s="199" t="n"/>
      <c r="C42" s="203" t="n"/>
      <c r="D42" s="203" t="n"/>
      <c r="E42" s="203">
        <f>SUM(C42:D42)</f>
        <v/>
      </c>
      <c r="F42" s="203" t="n"/>
      <c r="G42" s="203">
        <f>E42-F42</f>
        <v/>
      </c>
      <c r="H42" s="199" t="n"/>
      <c r="I42" s="199" t="n"/>
      <c r="J42" s="199" t="n"/>
      <c r="K42" s="199" t="n"/>
      <c r="L42" s="199" t="n"/>
    </row>
    <row r="43">
      <c r="A43" s="199" t="n"/>
      <c r="B43" s="199" t="n"/>
      <c r="C43" s="203" t="n"/>
      <c r="D43" s="203" t="n"/>
      <c r="E43" s="203">
        <f>SUM(C43:D43)</f>
        <v/>
      </c>
      <c r="F43" s="203" t="n"/>
      <c r="G43" s="203">
        <f>E43-F43</f>
        <v/>
      </c>
      <c r="H43" s="199" t="n"/>
      <c r="I43" s="199" t="n"/>
      <c r="J43" s="199" t="n"/>
      <c r="K43" s="199" t="n"/>
      <c r="L43" s="199" t="n"/>
    </row>
    <row r="44">
      <c r="A44" s="199" t="n"/>
      <c r="B44" s="199" t="n"/>
      <c r="C44" s="203" t="n"/>
      <c r="D44" s="203" t="n"/>
      <c r="E44" s="203">
        <f>SUM(C44:D44)</f>
        <v/>
      </c>
      <c r="F44" s="203" t="n"/>
      <c r="G44" s="203">
        <f>E44-F44</f>
        <v/>
      </c>
      <c r="H44" s="199" t="n"/>
      <c r="I44" s="199" t="n"/>
      <c r="J44" s="199" t="n"/>
      <c r="K44" s="199" t="n"/>
      <c r="L44" s="199" t="n"/>
    </row>
    <row r="45">
      <c r="A45" s="199" t="n"/>
      <c r="B45" s="199" t="n"/>
      <c r="C45" s="203" t="n"/>
      <c r="D45" s="203" t="n"/>
      <c r="E45" s="203">
        <f>SUM(C45:D45)</f>
        <v/>
      </c>
      <c r="F45" s="203" t="n"/>
      <c r="G45" s="203">
        <f>E45-F45</f>
        <v/>
      </c>
      <c r="H45" s="199" t="n"/>
      <c r="I45" s="199" t="n"/>
      <c r="J45" s="199" t="n"/>
      <c r="K45" s="199" t="n"/>
      <c r="L45" s="199" t="n"/>
    </row>
    <row r="46">
      <c r="A46" s="199" t="n"/>
      <c r="B46" s="199" t="n"/>
      <c r="C46" s="203" t="n"/>
      <c r="D46" s="203" t="n"/>
      <c r="E46" s="203">
        <f>SUM(C46:D46)</f>
        <v/>
      </c>
      <c r="F46" s="203" t="n"/>
      <c r="G46" s="203">
        <f>E46-F46</f>
        <v/>
      </c>
      <c r="H46" s="199" t="n"/>
      <c r="I46" s="199" t="n"/>
      <c r="J46" s="199" t="n"/>
      <c r="K46" s="199" t="n"/>
      <c r="L46" s="199" t="n"/>
    </row>
    <row r="47">
      <c r="A47" s="199" t="n"/>
      <c r="B47" s="199" t="n"/>
      <c r="C47" s="203" t="n"/>
      <c r="D47" s="203" t="n"/>
      <c r="E47" s="203">
        <f>SUM(C47:D47)</f>
        <v/>
      </c>
      <c r="F47" s="203" t="n"/>
      <c r="G47" s="203">
        <f>E47-F47</f>
        <v/>
      </c>
      <c r="H47" s="199" t="n"/>
      <c r="I47" s="199" t="n"/>
      <c r="J47" s="199" t="n"/>
      <c r="K47" s="199" t="n"/>
      <c r="L47" s="199" t="n"/>
    </row>
    <row r="48">
      <c r="A48" s="199" t="n"/>
      <c r="B48" s="199" t="n"/>
      <c r="C48" s="203" t="n"/>
      <c r="D48" s="203" t="n"/>
      <c r="E48" s="203">
        <f>SUM(C48:D48)</f>
        <v/>
      </c>
      <c r="F48" s="203" t="n"/>
      <c r="G48" s="203">
        <f>E48-F48</f>
        <v/>
      </c>
      <c r="H48" s="199" t="n"/>
      <c r="I48" s="199" t="n"/>
      <c r="J48" s="199" t="n"/>
      <c r="K48" s="199" t="n"/>
      <c r="L48" s="199" t="n"/>
    </row>
    <row r="49">
      <c r="A49" s="199" t="n"/>
      <c r="B49" s="199" t="n"/>
      <c r="C49" s="203" t="n"/>
      <c r="D49" s="203" t="n"/>
      <c r="E49" s="203">
        <f>SUM(C49:D49)</f>
        <v/>
      </c>
      <c r="F49" s="203" t="n"/>
      <c r="G49" s="203">
        <f>E49-F49</f>
        <v/>
      </c>
      <c r="H49" s="199" t="n"/>
      <c r="I49" s="199" t="n"/>
      <c r="J49" s="199" t="n"/>
      <c r="K49" s="199" t="n"/>
      <c r="L49" s="199" t="n"/>
    </row>
    <row r="50">
      <c r="A50" s="199" t="n"/>
      <c r="B50" s="199" t="n"/>
      <c r="C50" s="203" t="n"/>
      <c r="D50" s="203" t="n"/>
      <c r="E50" s="203">
        <f>SUM(C50:D50)</f>
        <v/>
      </c>
      <c r="F50" s="203" t="n"/>
      <c r="G50" s="203">
        <f>E50-F50</f>
        <v/>
      </c>
      <c r="H50" s="199" t="n"/>
      <c r="I50" s="199" t="n"/>
      <c r="J50" s="199" t="n"/>
      <c r="K50" s="199" t="n"/>
      <c r="L50" s="199" t="n"/>
    </row>
    <row r="51">
      <c r="A51" s="199" t="n"/>
      <c r="B51" s="199" t="n"/>
      <c r="C51" s="203" t="n"/>
      <c r="D51" s="203" t="n"/>
      <c r="E51" s="203">
        <f>SUM(C51:D51)</f>
        <v/>
      </c>
      <c r="F51" s="203" t="n"/>
      <c r="G51" s="203">
        <f>E51-F51</f>
        <v/>
      </c>
      <c r="H51" s="199" t="n"/>
      <c r="I51" s="199" t="n"/>
      <c r="J51" s="199" t="n"/>
      <c r="K51" s="199" t="n"/>
      <c r="L51" s="199" t="n"/>
    </row>
    <row r="52">
      <c r="A52" s="199" t="n"/>
      <c r="B52" s="199" t="n"/>
      <c r="C52" s="203" t="n"/>
      <c r="D52" s="203" t="n"/>
      <c r="E52" s="203">
        <f>SUM(C52:D52)</f>
        <v/>
      </c>
      <c r="F52" s="203" t="n"/>
      <c r="G52" s="203">
        <f>E52-F52</f>
        <v/>
      </c>
      <c r="H52" s="199" t="n"/>
      <c r="I52" s="199" t="n"/>
      <c r="J52" s="199" t="n"/>
      <c r="K52" s="199" t="n"/>
      <c r="L52" s="199" t="n"/>
    </row>
    <row r="53">
      <c r="A53" s="199" t="n"/>
      <c r="B53" s="199" t="n"/>
      <c r="C53" s="203" t="n"/>
      <c r="D53" s="203" t="n"/>
      <c r="E53" s="203">
        <f>SUM(C53:D53)</f>
        <v/>
      </c>
      <c r="F53" s="203" t="n"/>
      <c r="G53" s="203">
        <f>E53-F53</f>
        <v/>
      </c>
      <c r="H53" s="199" t="n"/>
      <c r="I53" s="199" t="n"/>
      <c r="J53" s="199" t="n"/>
      <c r="K53" s="199" t="n"/>
      <c r="L53" s="199" t="n"/>
    </row>
    <row r="54">
      <c r="A54" s="199" t="n"/>
      <c r="B54" s="199" t="n"/>
      <c r="C54" s="203" t="n"/>
      <c r="D54" s="203" t="n"/>
      <c r="E54" s="203">
        <f>SUM(C54:D54)</f>
        <v/>
      </c>
      <c r="F54" s="203" t="n"/>
      <c r="G54" s="203">
        <f>E54-F54</f>
        <v/>
      </c>
      <c r="H54" s="199" t="n"/>
      <c r="I54" s="199" t="n"/>
      <c r="J54" s="199" t="n"/>
      <c r="K54" s="199" t="n"/>
      <c r="L54" s="199" t="n"/>
    </row>
    <row r="55">
      <c r="A55" s="199" t="n"/>
      <c r="B55" s="199" t="n"/>
      <c r="C55" s="203" t="n"/>
      <c r="D55" s="203" t="n"/>
      <c r="E55" s="203">
        <f>SUM(C55:D55)</f>
        <v/>
      </c>
      <c r="F55" s="203" t="n"/>
      <c r="G55" s="203">
        <f>E55-F55</f>
        <v/>
      </c>
      <c r="H55" s="199" t="n"/>
      <c r="I55" s="199" t="n"/>
      <c r="J55" s="199" t="n"/>
      <c r="K55" s="199" t="n"/>
      <c r="L55" s="199" t="n"/>
    </row>
    <row r="56">
      <c r="A56" s="199" t="n"/>
      <c r="B56" s="199" t="n"/>
      <c r="C56" s="203" t="n"/>
      <c r="D56" s="203" t="n"/>
      <c r="E56" s="203">
        <f>SUM(C56:D56)</f>
        <v/>
      </c>
      <c r="F56" s="203" t="n"/>
      <c r="G56" s="203">
        <f>E56-F56</f>
        <v/>
      </c>
      <c r="H56" s="199" t="n"/>
      <c r="I56" s="199" t="n"/>
      <c r="J56" s="199" t="n"/>
      <c r="K56" s="199" t="n"/>
      <c r="L56" s="199" t="n"/>
    </row>
    <row r="57">
      <c r="A57" s="199" t="n"/>
      <c r="B57" s="199" t="n"/>
      <c r="C57" s="203" t="n"/>
      <c r="D57" s="203" t="n"/>
      <c r="E57" s="203">
        <f>SUM(C57:D57)</f>
        <v/>
      </c>
      <c r="F57" s="203" t="n"/>
      <c r="G57" s="203">
        <f>E57-F57</f>
        <v/>
      </c>
      <c r="H57" s="199" t="n"/>
      <c r="I57" s="199" t="n"/>
      <c r="J57" s="199" t="n"/>
      <c r="K57" s="199" t="n"/>
      <c r="L57" s="199" t="n"/>
    </row>
    <row r="58">
      <c r="A58" s="199" t="n"/>
      <c r="B58" s="199" t="n"/>
      <c r="C58" s="203" t="n"/>
      <c r="D58" s="203" t="n"/>
      <c r="E58" s="203">
        <f>SUM(C58:D58)</f>
        <v/>
      </c>
      <c r="F58" s="203" t="n"/>
      <c r="G58" s="203">
        <f>E58-F58</f>
        <v/>
      </c>
      <c r="H58" s="199" t="n"/>
      <c r="I58" s="199" t="n"/>
      <c r="J58" s="199" t="n"/>
      <c r="K58" s="199" t="n"/>
      <c r="L58" s="199" t="n"/>
    </row>
    <row r="59">
      <c r="A59" s="199" t="n"/>
      <c r="B59" s="199" t="n"/>
      <c r="C59" s="203" t="n"/>
      <c r="D59" s="203" t="n"/>
      <c r="E59" s="203">
        <f>SUM(C59:D59)</f>
        <v/>
      </c>
      <c r="F59" s="203" t="n"/>
      <c r="G59" s="203">
        <f>E59-F59</f>
        <v/>
      </c>
      <c r="H59" s="199" t="n"/>
      <c r="I59" s="199" t="n"/>
      <c r="J59" s="199" t="n"/>
      <c r="K59" s="199" t="n"/>
      <c r="L59" s="199" t="n"/>
    </row>
    <row r="60">
      <c r="A60" s="199" t="n"/>
      <c r="B60" s="199" t="n"/>
      <c r="C60" s="203" t="n"/>
      <c r="D60" s="203" t="n"/>
      <c r="E60" s="203">
        <f>SUM(C60:D60)</f>
        <v/>
      </c>
      <c r="F60" s="203" t="n"/>
      <c r="G60" s="203">
        <f>E60-F60</f>
        <v/>
      </c>
      <c r="H60" s="199" t="n"/>
      <c r="I60" s="199" t="n"/>
      <c r="J60" s="199" t="n"/>
      <c r="K60" s="199" t="n"/>
      <c r="L60" s="199" t="n"/>
    </row>
    <row r="61">
      <c r="A61" s="199" t="n"/>
      <c r="B61" s="199" t="n"/>
      <c r="C61" s="203" t="n"/>
      <c r="D61" s="203" t="n"/>
      <c r="E61" s="203">
        <f>SUM(C61:D61)</f>
        <v/>
      </c>
      <c r="F61" s="203" t="n"/>
      <c r="G61" s="203">
        <f>E61-F61</f>
        <v/>
      </c>
      <c r="H61" s="199" t="n"/>
      <c r="I61" s="199" t="n"/>
      <c r="J61" s="199" t="n"/>
      <c r="K61" s="199" t="n"/>
      <c r="L61" s="199" t="n"/>
    </row>
    <row r="62">
      <c r="A62" s="199" t="n"/>
      <c r="B62" s="199" t="n"/>
      <c r="C62" s="203" t="n"/>
      <c r="D62" s="203" t="n"/>
      <c r="E62" s="203">
        <f>SUM(C62:D62)</f>
        <v/>
      </c>
      <c r="F62" s="203" t="n"/>
      <c r="G62" s="203">
        <f>E62-F62</f>
        <v/>
      </c>
      <c r="H62" s="199" t="n"/>
      <c r="I62" s="199" t="n"/>
      <c r="J62" s="199" t="n"/>
      <c r="K62" s="199" t="n"/>
      <c r="L62" s="199" t="n"/>
    </row>
    <row r="63">
      <c r="A63" s="199" t="n"/>
      <c r="B63" s="199" t="n"/>
      <c r="C63" s="203" t="n"/>
      <c r="D63" s="203" t="n"/>
      <c r="E63" s="203">
        <f>SUM(C63:D63)</f>
        <v/>
      </c>
      <c r="F63" s="203" t="n"/>
      <c r="G63" s="203">
        <f>E63-F63</f>
        <v/>
      </c>
      <c r="H63" s="199" t="n"/>
      <c r="I63" s="199" t="n"/>
      <c r="J63" s="199" t="n"/>
      <c r="K63" s="199" t="n"/>
      <c r="L63" s="199" t="n"/>
    </row>
    <row r="64">
      <c r="A64" s="199" t="n"/>
      <c r="B64" s="199" t="n"/>
      <c r="C64" s="203" t="n"/>
      <c r="D64" s="203" t="n"/>
      <c r="E64" s="203">
        <f>SUM(C64:D64)</f>
        <v/>
      </c>
      <c r="F64" s="203" t="n"/>
      <c r="G64" s="203">
        <f>E64-F64</f>
        <v/>
      </c>
      <c r="H64" s="199" t="n"/>
      <c r="I64" s="199" t="n"/>
      <c r="J64" s="199" t="n"/>
      <c r="K64" s="199" t="n"/>
      <c r="L64" s="199" t="n"/>
    </row>
    <row r="65">
      <c r="A65" s="199" t="n"/>
      <c r="B65" s="199" t="n"/>
      <c r="C65" s="203" t="n"/>
      <c r="D65" s="203" t="n"/>
      <c r="E65" s="203">
        <f>SUM(C65:D65)</f>
        <v/>
      </c>
      <c r="F65" s="203" t="n"/>
      <c r="G65" s="203">
        <f>E65-F65</f>
        <v/>
      </c>
      <c r="H65" s="199" t="n"/>
      <c r="I65" s="199" t="n"/>
      <c r="J65" s="199" t="n"/>
      <c r="K65" s="199" t="n"/>
      <c r="L65" s="199" t="n"/>
    </row>
    <row r="66">
      <c r="A66" s="199" t="n"/>
      <c r="B66" s="199" t="n"/>
      <c r="C66" s="203" t="n"/>
      <c r="D66" s="203" t="n"/>
      <c r="E66" s="203">
        <f>SUM(C66:D66)</f>
        <v/>
      </c>
      <c r="F66" s="203" t="n"/>
      <c r="G66" s="203">
        <f>E66-F66</f>
        <v/>
      </c>
      <c r="H66" s="199" t="n"/>
      <c r="I66" s="199" t="n"/>
      <c r="J66" s="199" t="n"/>
      <c r="K66" s="199" t="n"/>
      <c r="L66" s="199" t="n"/>
    </row>
    <row r="67">
      <c r="A67" s="199" t="n"/>
      <c r="B67" s="199" t="n"/>
      <c r="C67" s="203" t="n"/>
      <c r="D67" s="203" t="n"/>
      <c r="E67" s="203">
        <f>SUM(C67:D67)</f>
        <v/>
      </c>
      <c r="F67" s="203" t="n"/>
      <c r="G67" s="203">
        <f>E67-F67</f>
        <v/>
      </c>
      <c r="H67" s="199" t="n"/>
      <c r="I67" s="199" t="n"/>
      <c r="J67" s="199" t="n"/>
      <c r="K67" s="199" t="n"/>
      <c r="L67" s="199" t="n"/>
    </row>
    <row r="68">
      <c r="A68" s="199" t="n"/>
      <c r="B68" s="199" t="n"/>
      <c r="C68" s="203" t="n"/>
      <c r="D68" s="203" t="n"/>
      <c r="E68" s="203">
        <f>SUM(C68:D68)</f>
        <v/>
      </c>
      <c r="F68" s="203" t="n"/>
      <c r="G68" s="203">
        <f>E68-F68</f>
        <v/>
      </c>
      <c r="H68" s="199" t="n"/>
      <c r="I68" s="199" t="n"/>
      <c r="J68" s="199" t="n"/>
      <c r="K68" s="199" t="n"/>
      <c r="L68" s="199" t="n"/>
    </row>
    <row r="69">
      <c r="A69" s="199" t="n"/>
      <c r="B69" s="199" t="n"/>
      <c r="C69" s="203" t="n"/>
      <c r="D69" s="203" t="n"/>
      <c r="E69" s="203">
        <f>SUM(C69:D69)</f>
        <v/>
      </c>
      <c r="F69" s="203" t="n"/>
      <c r="G69" s="203">
        <f>E69-F69</f>
        <v/>
      </c>
      <c r="H69" s="199" t="n"/>
      <c r="I69" s="199" t="n"/>
      <c r="J69" s="199" t="n"/>
      <c r="K69" s="199" t="n"/>
      <c r="L69" s="199" t="n"/>
    </row>
    <row r="70">
      <c r="A70" s="199" t="n"/>
      <c r="B70" s="199" t="n"/>
      <c r="C70" s="203" t="n"/>
      <c r="D70" s="203" t="n"/>
      <c r="E70" s="203">
        <f>SUM(C70:D70)</f>
        <v/>
      </c>
      <c r="F70" s="203" t="n"/>
      <c r="G70" s="203">
        <f>E70-F70</f>
        <v/>
      </c>
      <c r="H70" s="199" t="n"/>
      <c r="I70" s="199" t="n"/>
      <c r="J70" s="199" t="n"/>
      <c r="K70" s="199" t="n"/>
      <c r="L70" s="199" t="n"/>
    </row>
    <row r="71">
      <c r="A71" s="199" t="n"/>
      <c r="B71" s="199" t="n"/>
      <c r="C71" s="203" t="n"/>
      <c r="D71" s="203" t="n"/>
      <c r="E71" s="203">
        <f>SUM(C71:D71)</f>
        <v/>
      </c>
      <c r="F71" s="203" t="n"/>
      <c r="G71" s="203">
        <f>E71-F71</f>
        <v/>
      </c>
      <c r="H71" s="199" t="n"/>
      <c r="I71" s="199" t="n"/>
      <c r="J71" s="199" t="n"/>
      <c r="K71" s="199" t="n"/>
      <c r="L71" s="199" t="n"/>
    </row>
    <row r="72">
      <c r="A72" s="199" t="n"/>
      <c r="B72" s="199" t="n"/>
      <c r="C72" s="203" t="n"/>
      <c r="D72" s="203" t="n"/>
      <c r="E72" s="203">
        <f>SUM(C72:D72)</f>
        <v/>
      </c>
      <c r="F72" s="203" t="n"/>
      <c r="G72" s="203">
        <f>E72-F72</f>
        <v/>
      </c>
      <c r="H72" s="199" t="n"/>
      <c r="I72" s="199" t="n"/>
      <c r="J72" s="199" t="n"/>
      <c r="K72" s="199" t="n"/>
      <c r="L72" s="199" t="n"/>
    </row>
    <row r="73">
      <c r="A73" s="199" t="n"/>
      <c r="B73" s="199" t="n"/>
      <c r="C73" s="203" t="n"/>
      <c r="D73" s="203" t="n"/>
      <c r="E73" s="203">
        <f>SUM(C73:D73)</f>
        <v/>
      </c>
      <c r="F73" s="203" t="n"/>
      <c r="G73" s="203">
        <f>E73-F73</f>
        <v/>
      </c>
      <c r="H73" s="199" t="n"/>
      <c r="I73" s="199" t="n"/>
      <c r="J73" s="199" t="n"/>
      <c r="K73" s="199" t="n"/>
      <c r="L73" s="199" t="n"/>
    </row>
    <row r="74">
      <c r="A74" s="199" t="n"/>
      <c r="B74" s="199" t="n"/>
      <c r="C74" s="203" t="n"/>
      <c r="D74" s="203" t="n"/>
      <c r="E74" s="203">
        <f>SUM(C74:D74)</f>
        <v/>
      </c>
      <c r="F74" s="203" t="n"/>
      <c r="G74" s="203">
        <f>E74-F74</f>
        <v/>
      </c>
      <c r="H74" s="199" t="n"/>
      <c r="I74" s="199" t="n"/>
      <c r="J74" s="199" t="n"/>
      <c r="K74" s="199" t="n"/>
      <c r="L74" s="199" t="n"/>
    </row>
    <row r="75">
      <c r="A75" s="199" t="n"/>
      <c r="B75" s="199" t="n"/>
      <c r="C75" s="203" t="n"/>
      <c r="D75" s="203" t="n"/>
      <c r="E75" s="203">
        <f>SUM(C75:D75)</f>
        <v/>
      </c>
      <c r="F75" s="203" t="n"/>
      <c r="G75" s="203">
        <f>E75-F75</f>
        <v/>
      </c>
      <c r="H75" s="199" t="n"/>
      <c r="I75" s="199" t="n"/>
      <c r="J75" s="199" t="n"/>
      <c r="K75" s="199" t="n"/>
      <c r="L75" s="199" t="n"/>
    </row>
    <row r="76">
      <c r="A76" s="199" t="n"/>
      <c r="B76" s="199" t="n"/>
      <c r="C76" s="203" t="n"/>
      <c r="D76" s="203" t="n"/>
      <c r="E76" s="203">
        <f>SUM(C76:D76)</f>
        <v/>
      </c>
      <c r="F76" s="203" t="n"/>
      <c r="G76" s="203">
        <f>E76-F76</f>
        <v/>
      </c>
      <c r="H76" s="199" t="n"/>
      <c r="I76" s="199" t="n"/>
      <c r="J76" s="199" t="n"/>
      <c r="K76" s="199" t="n"/>
      <c r="L76" s="199" t="n"/>
    </row>
    <row r="77">
      <c r="A77" s="199" t="n"/>
      <c r="B77" s="199" t="n"/>
      <c r="C77" s="203" t="n"/>
      <c r="D77" s="203" t="n"/>
      <c r="E77" s="203">
        <f>SUM(C77:D77)</f>
        <v/>
      </c>
      <c r="F77" s="203" t="n"/>
      <c r="G77" s="203">
        <f>E77-F77</f>
        <v/>
      </c>
      <c r="H77" s="199" t="n"/>
      <c r="I77" s="199" t="n"/>
      <c r="J77" s="199" t="n"/>
      <c r="K77" s="199" t="n"/>
      <c r="L77" s="199" t="n"/>
    </row>
    <row r="78">
      <c r="A78" s="199" t="n"/>
      <c r="B78" s="199" t="n"/>
      <c r="C78" s="203" t="n"/>
      <c r="D78" s="203" t="n"/>
      <c r="E78" s="203">
        <f>SUM(C78:D78)</f>
        <v/>
      </c>
      <c r="F78" s="203" t="n"/>
      <c r="G78" s="203">
        <f>E78-F78</f>
        <v/>
      </c>
      <c r="H78" s="199" t="n"/>
      <c r="I78" s="199" t="n"/>
      <c r="J78" s="199" t="n"/>
      <c r="K78" s="199" t="n"/>
      <c r="L78" s="199" t="n"/>
    </row>
    <row r="79">
      <c r="A79" s="199" t="n"/>
      <c r="B79" s="199" t="n"/>
      <c r="C79" s="203" t="n"/>
      <c r="D79" s="203" t="n"/>
      <c r="E79" s="203">
        <f>SUM(C79:D79)</f>
        <v/>
      </c>
      <c r="F79" s="203" t="n"/>
      <c r="G79" s="203">
        <f>E79-F79</f>
        <v/>
      </c>
      <c r="H79" s="199" t="n"/>
      <c r="I79" s="199" t="n"/>
      <c r="J79" s="199" t="n"/>
      <c r="K79" s="199" t="n"/>
      <c r="L79" s="199" t="n"/>
    </row>
    <row r="80">
      <c r="A80" s="199" t="n"/>
      <c r="B80" s="199" t="n"/>
      <c r="C80" s="203" t="n"/>
      <c r="D80" s="203" t="n"/>
      <c r="E80" s="203">
        <f>SUM(C80:D80)</f>
        <v/>
      </c>
      <c r="F80" s="203" t="n"/>
      <c r="G80" s="203">
        <f>E80-F80</f>
        <v/>
      </c>
      <c r="H80" s="199" t="n"/>
      <c r="I80" s="199" t="n"/>
      <c r="J80" s="199" t="n"/>
      <c r="K80" s="199" t="n"/>
      <c r="L80" s="199" t="n"/>
    </row>
    <row r="81">
      <c r="A81" s="199" t="n"/>
      <c r="B81" s="199" t="n"/>
      <c r="C81" s="203" t="n"/>
      <c r="D81" s="203" t="n"/>
      <c r="E81" s="203">
        <f>SUM(C81:D81)</f>
        <v/>
      </c>
      <c r="F81" s="203" t="n"/>
      <c r="G81" s="203">
        <f>E81-F81</f>
        <v/>
      </c>
      <c r="H81" s="199" t="n"/>
      <c r="I81" s="199" t="n"/>
      <c r="J81" s="199" t="n"/>
      <c r="K81" s="199" t="n"/>
      <c r="L81" s="199" t="n"/>
    </row>
    <row r="82">
      <c r="A82" s="199" t="n"/>
      <c r="B82" s="199" t="n"/>
      <c r="C82" s="203" t="n"/>
      <c r="D82" s="203" t="n"/>
      <c r="E82" s="203">
        <f>SUM(C82:D82)</f>
        <v/>
      </c>
      <c r="F82" s="203" t="n"/>
      <c r="G82" s="203">
        <f>E82-F82</f>
        <v/>
      </c>
      <c r="H82" s="199" t="n"/>
      <c r="I82" s="199" t="n"/>
      <c r="J82" s="199" t="n"/>
      <c r="K82" s="199" t="n"/>
      <c r="L82" s="199" t="n"/>
    </row>
    <row r="83">
      <c r="A83" s="199" t="n"/>
      <c r="B83" s="199" t="n"/>
      <c r="C83" s="203" t="n"/>
      <c r="D83" s="203" t="n"/>
      <c r="E83" s="203">
        <f>SUM(C83:D83)</f>
        <v/>
      </c>
      <c r="F83" s="203" t="n"/>
      <c r="G83" s="203">
        <f>E83-F83</f>
        <v/>
      </c>
      <c r="H83" s="199" t="n"/>
      <c r="I83" s="199" t="n"/>
      <c r="J83" s="199" t="n"/>
      <c r="K83" s="199" t="n"/>
      <c r="L83" s="199" t="n"/>
    </row>
    <row r="84">
      <c r="A84" s="199" t="n"/>
      <c r="B84" s="199" t="n"/>
      <c r="C84" s="203" t="n"/>
      <c r="D84" s="203" t="n"/>
      <c r="E84" s="203">
        <f>SUM(C84:D84)</f>
        <v/>
      </c>
      <c r="F84" s="203" t="n"/>
      <c r="G84" s="203">
        <f>E84-F84</f>
        <v/>
      </c>
      <c r="H84" s="199" t="n"/>
      <c r="I84" s="199" t="n"/>
      <c r="J84" s="199" t="n"/>
      <c r="K84" s="199" t="n"/>
      <c r="L84" s="199" t="n"/>
    </row>
    <row r="85">
      <c r="A85" s="199" t="n"/>
      <c r="B85" s="199" t="n"/>
      <c r="C85" s="203" t="n"/>
      <c r="D85" s="203" t="n"/>
      <c r="E85" s="203">
        <f>SUM(C85:D85)</f>
        <v/>
      </c>
      <c r="F85" s="203" t="n"/>
      <c r="G85" s="203">
        <f>E85-F85</f>
        <v/>
      </c>
      <c r="H85" s="199" t="n"/>
      <c r="I85" s="199" t="n"/>
      <c r="J85" s="199" t="n"/>
      <c r="K85" s="199" t="n"/>
      <c r="L85" s="199" t="n"/>
    </row>
    <row r="86">
      <c r="A86" s="199" t="n"/>
      <c r="B86" s="199" t="n"/>
      <c r="C86" s="203" t="n"/>
      <c r="D86" s="203" t="n"/>
      <c r="E86" s="203">
        <f>SUM(C86:D86)</f>
        <v/>
      </c>
      <c r="F86" s="203" t="n"/>
      <c r="G86" s="203">
        <f>E86-F86</f>
        <v/>
      </c>
      <c r="H86" s="199" t="n"/>
      <c r="I86" s="199" t="n"/>
      <c r="J86" s="199" t="n"/>
      <c r="K86" s="199" t="n"/>
      <c r="L86" s="199" t="n"/>
    </row>
    <row r="87">
      <c r="A87" s="199" t="n"/>
      <c r="B87" s="199" t="n"/>
      <c r="C87" s="203" t="n"/>
      <c r="D87" s="203" t="n"/>
      <c r="E87" s="203">
        <f>SUM(C87:D87)</f>
        <v/>
      </c>
      <c r="F87" s="203" t="n"/>
      <c r="G87" s="203">
        <f>E87-F87</f>
        <v/>
      </c>
      <c r="H87" s="199" t="n"/>
      <c r="I87" s="199" t="n"/>
      <c r="J87" s="199" t="n"/>
      <c r="K87" s="199" t="n"/>
      <c r="L87" s="199" t="n"/>
    </row>
    <row r="88">
      <c r="A88" s="199" t="n"/>
      <c r="B88" s="199" t="n"/>
      <c r="C88" s="203" t="n"/>
      <c r="D88" s="203" t="n"/>
      <c r="E88" s="203">
        <f>SUM(C88:D88)</f>
        <v/>
      </c>
      <c r="F88" s="203" t="n"/>
      <c r="G88" s="203">
        <f>E88-F88</f>
        <v/>
      </c>
      <c r="H88" s="199" t="n"/>
      <c r="I88" s="199" t="n"/>
      <c r="J88" s="199" t="n"/>
      <c r="K88" s="199" t="n"/>
      <c r="L88" s="199" t="n"/>
    </row>
    <row r="89">
      <c r="A89" s="199" t="n"/>
      <c r="B89" s="199" t="n"/>
      <c r="C89" s="203" t="n"/>
      <c r="D89" s="203" t="n"/>
      <c r="E89" s="203">
        <f>SUM(C89:D89)</f>
        <v/>
      </c>
      <c r="F89" s="203" t="n"/>
      <c r="G89" s="203">
        <f>E89-F89</f>
        <v/>
      </c>
      <c r="H89" s="199" t="n"/>
      <c r="I89" s="199" t="n"/>
      <c r="J89" s="199" t="n"/>
      <c r="K89" s="199" t="n"/>
      <c r="L89" s="199" t="n"/>
    </row>
    <row r="90">
      <c r="A90" s="199" t="n"/>
      <c r="B90" s="199" t="n"/>
      <c r="C90" s="203" t="n"/>
      <c r="D90" s="203" t="n"/>
      <c r="E90" s="203">
        <f>SUM(C90:D90)</f>
        <v/>
      </c>
      <c r="F90" s="203" t="n"/>
      <c r="G90" s="203">
        <f>E90-F90</f>
        <v/>
      </c>
      <c r="H90" s="199" t="n"/>
      <c r="I90" s="199" t="n"/>
      <c r="J90" s="199" t="n"/>
      <c r="K90" s="199" t="n"/>
      <c r="L90" s="199" t="n"/>
    </row>
    <row r="91">
      <c r="A91" s="199" t="n"/>
      <c r="B91" s="199" t="n"/>
      <c r="C91" s="203" t="n"/>
      <c r="D91" s="203" t="n"/>
      <c r="E91" s="203">
        <f>SUM(C91:D91)</f>
        <v/>
      </c>
      <c r="F91" s="203" t="n"/>
      <c r="G91" s="203">
        <f>E91-F91</f>
        <v/>
      </c>
      <c r="H91" s="199" t="n"/>
      <c r="I91" s="199" t="n"/>
      <c r="J91" s="199" t="n"/>
      <c r="K91" s="199" t="n"/>
      <c r="L91" s="199" t="n"/>
    </row>
    <row r="92">
      <c r="A92" s="199" t="n"/>
      <c r="B92" s="199" t="n"/>
      <c r="C92" s="203" t="n"/>
      <c r="D92" s="203" t="n"/>
      <c r="E92" s="203">
        <f>SUM(C92:D92)</f>
        <v/>
      </c>
      <c r="F92" s="203" t="n"/>
      <c r="G92" s="203">
        <f>E92-F92</f>
        <v/>
      </c>
      <c r="H92" s="199" t="n"/>
      <c r="I92" s="199" t="n"/>
      <c r="J92" s="199" t="n"/>
      <c r="K92" s="199" t="n"/>
      <c r="L92" s="199" t="n"/>
    </row>
    <row r="93">
      <c r="A93" s="199" t="n"/>
      <c r="B93" s="199" t="n"/>
      <c r="C93" s="203" t="n"/>
      <c r="D93" s="203" t="n"/>
      <c r="E93" s="203">
        <f>SUM(C93:D93)</f>
        <v/>
      </c>
      <c r="F93" s="203" t="n"/>
      <c r="G93" s="203">
        <f>E93-F93</f>
        <v/>
      </c>
      <c r="H93" s="199" t="n"/>
      <c r="I93" s="199" t="n"/>
      <c r="J93" s="199" t="n"/>
      <c r="K93" s="199" t="n"/>
      <c r="L93" s="199" t="n"/>
    </row>
    <row r="94">
      <c r="A94" s="199" t="n"/>
      <c r="B94" s="199" t="n"/>
      <c r="C94" s="203" t="n"/>
      <c r="D94" s="203" t="n"/>
      <c r="E94" s="203">
        <f>SUM(C94:D94)</f>
        <v/>
      </c>
      <c r="F94" s="203" t="n"/>
      <c r="G94" s="203">
        <f>E94-F94</f>
        <v/>
      </c>
      <c r="H94" s="199" t="n"/>
      <c r="I94" s="199" t="n"/>
      <c r="J94" s="199" t="n"/>
      <c r="K94" s="199" t="n"/>
      <c r="L94" s="199" t="n"/>
    </row>
    <row r="95">
      <c r="A95" s="199" t="n"/>
      <c r="B95" s="199" t="n"/>
      <c r="C95" s="203" t="n"/>
      <c r="D95" s="203" t="n"/>
      <c r="E95" s="203">
        <f>SUM(C95:D95)</f>
        <v/>
      </c>
      <c r="F95" s="203" t="n"/>
      <c r="G95" s="203">
        <f>E95-F95</f>
        <v/>
      </c>
      <c r="H95" s="199" t="n"/>
      <c r="I95" s="199" t="n"/>
      <c r="J95" s="199" t="n"/>
      <c r="K95" s="199" t="n"/>
      <c r="L95" s="199" t="n"/>
    </row>
    <row r="96">
      <c r="A96" s="199" t="n"/>
      <c r="B96" s="199" t="n"/>
      <c r="C96" s="203" t="n"/>
      <c r="D96" s="203" t="n"/>
      <c r="E96" s="203">
        <f>SUM(C96:D96)</f>
        <v/>
      </c>
      <c r="F96" s="203" t="n"/>
      <c r="G96" s="203">
        <f>E96-F96</f>
        <v/>
      </c>
      <c r="H96" s="199" t="n"/>
      <c r="I96" s="199" t="n"/>
      <c r="J96" s="199" t="n"/>
      <c r="K96" s="199" t="n"/>
      <c r="L96" s="199" t="n"/>
    </row>
    <row r="97">
      <c r="A97" s="199" t="n"/>
      <c r="B97" s="199" t="n"/>
      <c r="C97" s="203" t="n"/>
      <c r="D97" s="203" t="n"/>
      <c r="E97" s="203">
        <f>SUM(C97:D97)</f>
        <v/>
      </c>
      <c r="F97" s="203" t="n"/>
      <c r="G97" s="203">
        <f>E97-F97</f>
        <v/>
      </c>
      <c r="H97" s="199" t="n"/>
      <c r="I97" s="199" t="n"/>
      <c r="J97" s="199" t="n"/>
      <c r="K97" s="199" t="n"/>
      <c r="L97" s="199" t="n"/>
    </row>
    <row r="98">
      <c r="A98" s="199" t="n"/>
      <c r="B98" s="199" t="n"/>
      <c r="C98" s="203" t="n"/>
      <c r="D98" s="203" t="n"/>
      <c r="E98" s="203">
        <f>SUM(C98:D98)</f>
        <v/>
      </c>
      <c r="F98" s="203" t="n"/>
      <c r="G98" s="203">
        <f>E98-F98</f>
        <v/>
      </c>
      <c r="H98" s="199" t="n"/>
      <c r="I98" s="199" t="n"/>
      <c r="J98" s="199" t="n"/>
      <c r="K98" s="199" t="n"/>
      <c r="L98" s="199" t="n"/>
    </row>
    <row r="99">
      <c r="A99" s="199" t="n"/>
      <c r="B99" s="199" t="n"/>
      <c r="C99" s="203" t="n"/>
      <c r="D99" s="203" t="n"/>
      <c r="E99" s="203">
        <f>SUM(C99:D99)</f>
        <v/>
      </c>
      <c r="F99" s="203" t="n"/>
      <c r="G99" s="203">
        <f>E99-F99</f>
        <v/>
      </c>
      <c r="H99" s="199" t="n"/>
      <c r="I99" s="199" t="n"/>
      <c r="J99" s="199" t="n"/>
      <c r="K99" s="199" t="n"/>
      <c r="L99" s="199" t="n"/>
    </row>
    <row r="100">
      <c r="A100" s="199" t="n"/>
      <c r="B100" s="199" t="n"/>
      <c r="C100" s="203" t="n"/>
      <c r="D100" s="203" t="n"/>
      <c r="E100" s="203">
        <f>SUM(C100:D100)</f>
        <v/>
      </c>
      <c r="F100" s="203" t="n"/>
      <c r="G100" s="203">
        <f>E100-F100</f>
        <v/>
      </c>
      <c r="H100" s="199" t="n"/>
      <c r="I100" s="199" t="n"/>
      <c r="J100" s="199" t="n"/>
      <c r="K100" s="199" t="n"/>
      <c r="L100" s="199" t="n"/>
    </row>
  </sheetData>
  <mergeCells count="1">
    <mergeCell ref="K1:L1"/>
  </mergeCells>
  <conditionalFormatting sqref="A2:I100">
    <cfRule type="expression" priority="1" dxfId="0">
      <formula>$H2="Awaiting quote"</formula>
    </cfRule>
    <cfRule type="expression" priority="2" dxfId="1">
      <formula>$H2="Quoted"</formula>
    </cfRule>
    <cfRule type="expression" priority="3" dxfId="2">
      <formula>$H2="Part paid"</formula>
    </cfRule>
    <cfRule type="expression" priority="4" dxfId="3">
      <formula>$H2="Paid"</formula>
    </cfRule>
    <cfRule type="expression" priority="5" dxfId="4">
      <formula>$H2="Outstanding"</formula>
    </cfRule>
  </conditionalFormatting>
  <dataValidations count="1">
    <dataValidation sqref="H2:H100" showDropDown="0" showInputMessage="0" showErrorMessage="0" allowBlank="0" type="list">
      <formula1>"Awaiting quote,Quoted,Part paid,Paid,Outstanding"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3" customWidth="1" style="143" min="1" max="1"/>
    <col width="23" customWidth="1" style="143" min="2" max="2"/>
    <col width="20" customWidth="1" style="143" min="3" max="3"/>
    <col width="28" customWidth="1" style="143" min="4" max="4"/>
    <col width="16" customWidth="1" style="143" min="5" max="5"/>
    <col width="20" customWidth="1" style="143" min="6" max="6"/>
    <col width="20" customWidth="1" style="143" min="7" max="7"/>
    <col width="20" customWidth="1" style="143" min="8" max="8"/>
  </cols>
  <sheetData>
    <row r="1">
      <c r="A1" s="194" t="inlineStr">
        <is>
          <t>Date</t>
        </is>
      </c>
      <c r="B1" s="194" t="inlineStr">
        <is>
          <t>Contractor / Supplier</t>
        </is>
      </c>
      <c r="C1" s="194" t="inlineStr">
        <is>
          <t>Trade</t>
        </is>
      </c>
      <c r="D1" s="194" t="inlineStr">
        <is>
          <t>Description</t>
        </is>
      </c>
      <c r="E1" s="194" t="inlineStr">
        <is>
          <t>Amount Paid (£)</t>
        </is>
      </c>
      <c r="F1" s="194" t="inlineStr">
        <is>
          <t>Payment Method</t>
        </is>
      </c>
      <c r="G1" s="194" t="inlineStr">
        <is>
          <t>Invoice / Receipt</t>
        </is>
      </c>
      <c r="H1" s="194" t="inlineStr">
        <is>
          <t>Notes</t>
        </is>
      </c>
    </row>
    <row r="2">
      <c r="A2" s="221" t="n"/>
      <c r="B2" t="inlineStr">
        <is>
          <t>Jason</t>
        </is>
      </c>
      <c r="C2" t="inlineStr">
        <is>
          <t>Carpets</t>
        </is>
      </c>
      <c r="D2" t="inlineStr">
        <is>
          <t>Deposit / part payment</t>
        </is>
      </c>
      <c r="E2" s="150" t="n">
        <v>70</v>
      </c>
    </row>
    <row r="3">
      <c r="A3" s="221" t="n"/>
      <c r="E3" s="150" t="n"/>
    </row>
    <row r="4">
      <c r="A4" s="221" t="n"/>
      <c r="E4" s="150" t="n"/>
    </row>
    <row r="5">
      <c r="A5" s="221" t="n"/>
      <c r="E5" s="150" t="n"/>
    </row>
    <row r="6">
      <c r="A6" s="221" t="n"/>
      <c r="E6" s="150" t="n"/>
    </row>
    <row r="7">
      <c r="A7" s="221" t="n"/>
      <c r="E7" s="150" t="n"/>
    </row>
    <row r="8">
      <c r="A8" s="221" t="n"/>
      <c r="E8" s="150" t="n"/>
    </row>
    <row r="9">
      <c r="A9" s="221" t="n"/>
      <c r="E9" s="150" t="n"/>
    </row>
    <row r="10">
      <c r="A10" s="221" t="n"/>
      <c r="E10" s="150" t="n"/>
    </row>
    <row r="11">
      <c r="A11" s="221" t="n"/>
      <c r="E11" s="150" t="n"/>
    </row>
    <row r="12">
      <c r="A12" s="221" t="n"/>
      <c r="E12" s="150" t="n"/>
    </row>
    <row r="13">
      <c r="A13" s="221" t="n"/>
      <c r="E13" s="150" t="n"/>
    </row>
    <row r="14">
      <c r="A14" s="221" t="n"/>
      <c r="E14" s="150" t="n"/>
    </row>
    <row r="15">
      <c r="A15" s="221" t="n"/>
      <c r="E15" s="150" t="n"/>
    </row>
    <row r="16">
      <c r="A16" s="221" t="n"/>
      <c r="E16" s="150" t="n"/>
    </row>
    <row r="17">
      <c r="A17" s="221" t="n"/>
      <c r="E17" s="150" t="n"/>
    </row>
    <row r="18">
      <c r="A18" s="221" t="n"/>
      <c r="E18" s="150" t="n"/>
    </row>
    <row r="19">
      <c r="A19" s="221" t="n"/>
      <c r="E19" s="150" t="n"/>
    </row>
    <row r="20">
      <c r="A20" s="221" t="n"/>
      <c r="E20" s="150" t="n"/>
    </row>
    <row r="21">
      <c r="A21" s="221" t="n"/>
      <c r="E21" s="150" t="n"/>
    </row>
    <row r="22">
      <c r="A22" s="221" t="n"/>
      <c r="E22" s="150" t="n"/>
    </row>
    <row r="23">
      <c r="A23" s="221" t="n"/>
      <c r="E23" s="150" t="n"/>
    </row>
    <row r="24">
      <c r="A24" s="221" t="n"/>
      <c r="E24" s="150" t="n"/>
    </row>
    <row r="25">
      <c r="A25" s="221" t="n"/>
      <c r="E25" s="150" t="n"/>
    </row>
    <row r="26">
      <c r="A26" s="221" t="n"/>
      <c r="E26" s="150" t="n"/>
    </row>
    <row r="27">
      <c r="A27" s="221" t="n"/>
      <c r="E27" s="150" t="n"/>
    </row>
    <row r="28">
      <c r="A28" s="221" t="n"/>
      <c r="E28" s="150" t="n"/>
    </row>
    <row r="29">
      <c r="A29" s="221" t="n"/>
      <c r="E29" s="150" t="n"/>
    </row>
    <row r="30">
      <c r="A30" s="221" t="n"/>
      <c r="E30" s="150" t="n"/>
    </row>
    <row r="31">
      <c r="A31" s="221" t="n"/>
      <c r="E31" s="150" t="n"/>
    </row>
    <row r="32">
      <c r="A32" s="221" t="n"/>
      <c r="E32" s="150" t="n"/>
    </row>
    <row r="33">
      <c r="A33" s="221" t="n"/>
      <c r="E33" s="150" t="n"/>
    </row>
    <row r="34">
      <c r="A34" s="221" t="n"/>
      <c r="E34" s="150" t="n"/>
    </row>
    <row r="35">
      <c r="A35" s="221" t="n"/>
      <c r="E35" s="150" t="n"/>
    </row>
    <row r="36">
      <c r="A36" s="221" t="n"/>
      <c r="E36" s="150" t="n"/>
    </row>
    <row r="37">
      <c r="A37" s="221" t="n"/>
      <c r="E37" s="150" t="n"/>
    </row>
    <row r="38">
      <c r="A38" s="221" t="n"/>
      <c r="E38" s="150" t="n"/>
    </row>
    <row r="39">
      <c r="A39" s="221" t="n"/>
      <c r="E39" s="150" t="n"/>
    </row>
    <row r="40">
      <c r="A40" s="221" t="n"/>
      <c r="E40" s="150" t="n"/>
    </row>
    <row r="41">
      <c r="A41" s="221" t="n"/>
      <c r="E41" s="150" t="n"/>
    </row>
    <row r="42">
      <c r="A42" s="221" t="n"/>
      <c r="E42" s="150" t="n"/>
    </row>
    <row r="43">
      <c r="A43" s="221" t="n"/>
      <c r="E43" s="150" t="n"/>
    </row>
    <row r="44">
      <c r="A44" s="221" t="n"/>
      <c r="E44" s="150" t="n"/>
    </row>
    <row r="45">
      <c r="A45" s="221" t="n"/>
      <c r="E45" s="150" t="n"/>
    </row>
    <row r="46">
      <c r="A46" s="221" t="n"/>
      <c r="E46" s="150" t="n"/>
    </row>
    <row r="47">
      <c r="A47" s="221" t="n"/>
      <c r="E47" s="150" t="n"/>
    </row>
    <row r="48">
      <c r="A48" s="221" t="n"/>
      <c r="E48" s="150" t="n"/>
    </row>
    <row r="49">
      <c r="A49" s="221" t="n"/>
      <c r="E49" s="150" t="n"/>
    </row>
    <row r="50">
      <c r="A50" s="221" t="n"/>
      <c r="E50" s="150" t="n"/>
    </row>
    <row r="51">
      <c r="A51" s="221" t="n"/>
      <c r="E51" s="150" t="n"/>
    </row>
    <row r="52">
      <c r="A52" s="221" t="n"/>
      <c r="E52" s="150" t="n"/>
    </row>
    <row r="53">
      <c r="A53" s="221" t="n"/>
      <c r="E53" s="150" t="n"/>
    </row>
    <row r="54">
      <c r="A54" s="221" t="n"/>
      <c r="E54" s="150" t="n"/>
    </row>
    <row r="55">
      <c r="A55" s="221" t="n"/>
      <c r="E55" s="150" t="n"/>
    </row>
    <row r="56">
      <c r="A56" s="221" t="n"/>
      <c r="E56" s="150" t="n"/>
    </row>
    <row r="57">
      <c r="A57" s="221" t="n"/>
      <c r="E57" s="150" t="n"/>
    </row>
    <row r="58">
      <c r="A58" s="221" t="n"/>
      <c r="E58" s="150" t="n"/>
    </row>
    <row r="59">
      <c r="A59" s="221" t="n"/>
      <c r="E59" s="150" t="n"/>
    </row>
    <row r="60">
      <c r="A60" s="221" t="n"/>
      <c r="E60" s="150" t="n"/>
    </row>
    <row r="61">
      <c r="A61" s="221" t="n"/>
      <c r="E61" s="150" t="n"/>
    </row>
    <row r="62">
      <c r="A62" s="221" t="n"/>
      <c r="E62" s="150" t="n"/>
    </row>
    <row r="63">
      <c r="A63" s="221" t="n"/>
      <c r="E63" s="150" t="n"/>
    </row>
    <row r="64">
      <c r="A64" s="221" t="n"/>
      <c r="E64" s="150" t="n"/>
    </row>
    <row r="65">
      <c r="A65" s="221" t="n"/>
      <c r="E65" s="150" t="n"/>
    </row>
    <row r="66">
      <c r="A66" s="221" t="n"/>
      <c r="E66" s="150" t="n"/>
    </row>
    <row r="67">
      <c r="A67" s="221" t="n"/>
      <c r="E67" s="150" t="n"/>
    </row>
    <row r="68">
      <c r="A68" s="221" t="n"/>
      <c r="E68" s="150" t="n"/>
    </row>
    <row r="69">
      <c r="A69" s="221" t="n"/>
      <c r="E69" s="150" t="n"/>
    </row>
    <row r="70">
      <c r="A70" s="221" t="n"/>
      <c r="E70" s="150" t="n"/>
    </row>
    <row r="71">
      <c r="A71" s="221" t="n"/>
      <c r="E71" s="150" t="n"/>
    </row>
    <row r="72">
      <c r="A72" s="221" t="n"/>
      <c r="E72" s="150" t="n"/>
    </row>
    <row r="73">
      <c r="A73" s="221" t="n"/>
      <c r="E73" s="150" t="n"/>
    </row>
    <row r="74">
      <c r="A74" s="221" t="n"/>
      <c r="E74" s="150" t="n"/>
    </row>
    <row r="75">
      <c r="A75" s="221" t="n"/>
      <c r="E75" s="150" t="n"/>
    </row>
    <row r="76">
      <c r="A76" s="221" t="n"/>
      <c r="E76" s="150" t="n"/>
    </row>
    <row r="77">
      <c r="A77" s="221" t="n"/>
      <c r="E77" s="150" t="n"/>
    </row>
    <row r="78">
      <c r="A78" s="221" t="n"/>
      <c r="E78" s="150" t="n"/>
    </row>
    <row r="79">
      <c r="A79" s="221" t="n"/>
      <c r="E79" s="150" t="n"/>
    </row>
    <row r="80">
      <c r="A80" s="221" t="n"/>
      <c r="E80" s="150" t="n"/>
    </row>
    <row r="81">
      <c r="A81" s="221" t="n"/>
      <c r="E81" s="150" t="n"/>
    </row>
    <row r="82">
      <c r="A82" s="221" t="n"/>
      <c r="E82" s="150" t="n"/>
    </row>
    <row r="83">
      <c r="A83" s="221" t="n"/>
      <c r="E83" s="150" t="n"/>
    </row>
    <row r="84">
      <c r="A84" s="221" t="n"/>
      <c r="E84" s="150" t="n"/>
    </row>
    <row r="85">
      <c r="A85" s="221" t="n"/>
      <c r="E85" s="150" t="n"/>
    </row>
    <row r="86">
      <c r="A86" s="221" t="n"/>
      <c r="E86" s="150" t="n"/>
    </row>
    <row r="87">
      <c r="A87" s="221" t="n"/>
      <c r="E87" s="150" t="n"/>
    </row>
    <row r="88">
      <c r="A88" s="221" t="n"/>
      <c r="E88" s="150" t="n"/>
    </row>
    <row r="89">
      <c r="A89" s="221" t="n"/>
      <c r="E89" s="150" t="n"/>
    </row>
    <row r="90">
      <c r="A90" s="221" t="n"/>
      <c r="E90" s="150" t="n"/>
    </row>
    <row r="91">
      <c r="A91" s="221" t="n"/>
      <c r="E91" s="150" t="n"/>
    </row>
    <row r="92">
      <c r="A92" s="221" t="n"/>
      <c r="E92" s="150" t="n"/>
    </row>
    <row r="93">
      <c r="A93" s="221" t="n"/>
      <c r="E93" s="150" t="n"/>
    </row>
    <row r="94">
      <c r="A94" s="221" t="n"/>
      <c r="E94" s="150" t="n"/>
    </row>
    <row r="95">
      <c r="A95" s="221" t="n"/>
      <c r="E95" s="150" t="n"/>
    </row>
    <row r="96">
      <c r="A96" s="221" t="n"/>
      <c r="E96" s="150" t="n"/>
    </row>
    <row r="97">
      <c r="A97" s="221" t="n"/>
      <c r="E97" s="150" t="n"/>
    </row>
    <row r="98">
      <c r="A98" s="221" t="n"/>
      <c r="E98" s="150" t="n"/>
    </row>
    <row r="99">
      <c r="A99" s="221" t="n"/>
      <c r="E99" s="150" t="n"/>
    </row>
    <row r="100">
      <c r="A100" s="221" t="n"/>
      <c r="E100" s="150" t="n"/>
    </row>
    <row r="101">
      <c r="A101" s="221" t="n"/>
      <c r="E101" s="150" t="n"/>
    </row>
    <row r="102">
      <c r="A102" s="221" t="n"/>
      <c r="E102" s="150" t="n"/>
    </row>
    <row r="103">
      <c r="A103" s="221" t="n"/>
      <c r="E103" s="150" t="n"/>
    </row>
    <row r="104">
      <c r="A104" s="221" t="n"/>
      <c r="E104" s="150" t="n"/>
    </row>
    <row r="105">
      <c r="A105" s="221" t="n"/>
      <c r="E105" s="150" t="n"/>
    </row>
    <row r="106">
      <c r="A106" s="221" t="n"/>
      <c r="E106" s="150" t="n"/>
    </row>
    <row r="107">
      <c r="A107" s="221" t="n"/>
      <c r="E107" s="150" t="n"/>
    </row>
    <row r="108">
      <c r="A108" s="221" t="n"/>
      <c r="E108" s="150" t="n"/>
    </row>
    <row r="109">
      <c r="A109" s="221" t="n"/>
      <c r="E109" s="150" t="n"/>
    </row>
    <row r="110">
      <c r="A110" s="221" t="n"/>
      <c r="E110" s="150" t="n"/>
    </row>
    <row r="111">
      <c r="A111" s="221" t="n"/>
      <c r="E111" s="150" t="n"/>
    </row>
    <row r="112">
      <c r="A112" s="221" t="n"/>
      <c r="E112" s="150" t="n"/>
    </row>
    <row r="113">
      <c r="A113" s="221" t="n"/>
      <c r="E113" s="150" t="n"/>
    </row>
    <row r="114">
      <c r="A114" s="221" t="n"/>
      <c r="E114" s="150" t="n"/>
    </row>
    <row r="115">
      <c r="A115" s="221" t="n"/>
      <c r="E115" s="150" t="n"/>
    </row>
    <row r="116">
      <c r="A116" s="221" t="n"/>
      <c r="E116" s="150" t="n"/>
    </row>
    <row r="117">
      <c r="A117" s="221" t="n"/>
      <c r="E117" s="150" t="n"/>
    </row>
    <row r="118">
      <c r="A118" s="221" t="n"/>
      <c r="E118" s="150" t="n"/>
    </row>
    <row r="119">
      <c r="A119" s="221" t="n"/>
      <c r="E119" s="150" t="n"/>
    </row>
    <row r="120">
      <c r="A120" s="221" t="n"/>
      <c r="E120" s="150" t="n"/>
    </row>
    <row r="121">
      <c r="A121" s="221" t="n"/>
      <c r="E121" s="150" t="n"/>
    </row>
    <row r="122">
      <c r="A122" s="221" t="n"/>
      <c r="E122" s="150" t="n"/>
    </row>
    <row r="123">
      <c r="A123" s="221" t="n"/>
      <c r="E123" s="150" t="n"/>
    </row>
    <row r="124">
      <c r="A124" s="221" t="n"/>
      <c r="E124" s="150" t="n"/>
    </row>
    <row r="125">
      <c r="A125" s="221" t="n"/>
      <c r="E125" s="150" t="n"/>
    </row>
    <row r="126">
      <c r="A126" s="221" t="n"/>
      <c r="E126" s="150" t="n"/>
    </row>
    <row r="127">
      <c r="A127" s="221" t="n"/>
      <c r="E127" s="150" t="n"/>
    </row>
    <row r="128">
      <c r="A128" s="221" t="n"/>
      <c r="E128" s="150" t="n"/>
    </row>
    <row r="129">
      <c r="A129" s="221" t="n"/>
      <c r="E129" s="150" t="n"/>
    </row>
    <row r="130">
      <c r="A130" s="221" t="n"/>
      <c r="E130" s="150" t="n"/>
    </row>
    <row r="131">
      <c r="A131" s="221" t="n"/>
      <c r="E131" s="150" t="n"/>
    </row>
    <row r="132">
      <c r="A132" s="221" t="n"/>
      <c r="E132" s="150" t="n"/>
    </row>
    <row r="133">
      <c r="A133" s="221" t="n"/>
      <c r="E133" s="150" t="n"/>
    </row>
    <row r="134">
      <c r="A134" s="221" t="n"/>
      <c r="E134" s="150" t="n"/>
    </row>
    <row r="135">
      <c r="A135" s="221" t="n"/>
      <c r="E135" s="150" t="n"/>
    </row>
    <row r="136">
      <c r="A136" s="221" t="n"/>
      <c r="E136" s="150" t="n"/>
    </row>
    <row r="137">
      <c r="A137" s="221" t="n"/>
      <c r="E137" s="150" t="n"/>
    </row>
    <row r="138">
      <c r="A138" s="221" t="n"/>
      <c r="E138" s="150" t="n"/>
    </row>
    <row r="139">
      <c r="A139" s="221" t="n"/>
      <c r="E139" s="150" t="n"/>
    </row>
    <row r="140">
      <c r="A140" s="221" t="n"/>
      <c r="E140" s="150" t="n"/>
    </row>
    <row r="141">
      <c r="A141" s="221" t="n"/>
      <c r="E141" s="150" t="n"/>
    </row>
    <row r="142">
      <c r="A142" s="221" t="n"/>
      <c r="E142" s="150" t="n"/>
    </row>
    <row r="143">
      <c r="A143" s="221" t="n"/>
      <c r="E143" s="150" t="n"/>
    </row>
    <row r="144">
      <c r="A144" s="221" t="n"/>
      <c r="E144" s="150" t="n"/>
    </row>
    <row r="145">
      <c r="A145" s="221" t="n"/>
      <c r="E145" s="150" t="n"/>
    </row>
    <row r="146">
      <c r="A146" s="221" t="n"/>
      <c r="E146" s="150" t="n"/>
    </row>
    <row r="147">
      <c r="A147" s="221" t="n"/>
      <c r="E147" s="150" t="n"/>
    </row>
    <row r="148">
      <c r="A148" s="221" t="n"/>
      <c r="E148" s="150" t="n"/>
    </row>
    <row r="149">
      <c r="A149" s="221" t="n"/>
      <c r="E149" s="150" t="n"/>
    </row>
    <row r="150">
      <c r="A150" s="221" t="n"/>
      <c r="E150" s="150" t="n"/>
    </row>
    <row r="151">
      <c r="A151" s="221" t="n"/>
      <c r="E151" s="150" t="n"/>
    </row>
    <row r="152">
      <c r="A152" s="221" t="n"/>
      <c r="E152" s="150" t="n"/>
    </row>
    <row r="153">
      <c r="A153" s="221" t="n"/>
      <c r="E153" s="150" t="n"/>
    </row>
    <row r="154">
      <c r="A154" s="221" t="n"/>
      <c r="E154" s="150" t="n"/>
    </row>
    <row r="155">
      <c r="A155" s="221" t="n"/>
      <c r="E155" s="150" t="n"/>
    </row>
    <row r="156">
      <c r="A156" s="221" t="n"/>
      <c r="E156" s="150" t="n"/>
    </row>
    <row r="157">
      <c r="A157" s="221" t="n"/>
      <c r="E157" s="150" t="n"/>
    </row>
    <row r="158">
      <c r="A158" s="221" t="n"/>
      <c r="E158" s="150" t="n"/>
    </row>
    <row r="159">
      <c r="A159" s="221" t="n"/>
      <c r="E159" s="150" t="n"/>
    </row>
    <row r="160">
      <c r="A160" s="221" t="n"/>
      <c r="E160" s="150" t="n"/>
    </row>
    <row r="161">
      <c r="A161" s="221" t="n"/>
      <c r="E161" s="150" t="n"/>
    </row>
    <row r="162">
      <c r="A162" s="221" t="n"/>
      <c r="E162" s="150" t="n"/>
    </row>
    <row r="163">
      <c r="A163" s="221" t="n"/>
      <c r="E163" s="150" t="n"/>
    </row>
    <row r="164">
      <c r="A164" s="221" t="n"/>
      <c r="E164" s="150" t="n"/>
    </row>
    <row r="165">
      <c r="A165" s="221" t="n"/>
      <c r="E165" s="150" t="n"/>
    </row>
    <row r="166">
      <c r="A166" s="221" t="n"/>
      <c r="E166" s="150" t="n"/>
    </row>
    <row r="167">
      <c r="A167" s="221" t="n"/>
      <c r="E167" s="150" t="n"/>
    </row>
    <row r="168">
      <c r="A168" s="221" t="n"/>
      <c r="E168" s="150" t="n"/>
    </row>
    <row r="169">
      <c r="A169" s="221" t="n"/>
      <c r="E169" s="150" t="n"/>
    </row>
    <row r="170">
      <c r="A170" s="221" t="n"/>
      <c r="E170" s="150" t="n"/>
    </row>
    <row r="171">
      <c r="A171" s="221" t="n"/>
      <c r="E171" s="150" t="n"/>
    </row>
    <row r="172">
      <c r="A172" s="221" t="n"/>
      <c r="E172" s="150" t="n"/>
    </row>
    <row r="173">
      <c r="A173" s="221" t="n"/>
      <c r="E173" s="150" t="n"/>
    </row>
    <row r="174">
      <c r="A174" s="221" t="n"/>
      <c r="E174" s="150" t="n"/>
    </row>
    <row r="175">
      <c r="A175" s="221" t="n"/>
      <c r="E175" s="150" t="n"/>
    </row>
    <row r="176">
      <c r="A176" s="221" t="n"/>
      <c r="E176" s="150" t="n"/>
    </row>
    <row r="177">
      <c r="A177" s="221" t="n"/>
      <c r="E177" s="150" t="n"/>
    </row>
    <row r="178">
      <c r="A178" s="221" t="n"/>
      <c r="E178" s="150" t="n"/>
    </row>
    <row r="179">
      <c r="A179" s="221" t="n"/>
      <c r="E179" s="150" t="n"/>
    </row>
    <row r="180">
      <c r="A180" s="221" t="n"/>
      <c r="E180" s="150" t="n"/>
    </row>
    <row r="181">
      <c r="A181" s="221" t="n"/>
      <c r="E181" s="150" t="n"/>
    </row>
    <row r="182">
      <c r="A182" s="221" t="n"/>
      <c r="E182" s="150" t="n"/>
    </row>
    <row r="183">
      <c r="A183" s="221" t="n"/>
      <c r="E183" s="150" t="n"/>
    </row>
    <row r="184">
      <c r="A184" s="221" t="n"/>
      <c r="E184" s="150" t="n"/>
    </row>
    <row r="185">
      <c r="A185" s="221" t="n"/>
      <c r="E185" s="150" t="n"/>
    </row>
    <row r="186">
      <c r="A186" s="221" t="n"/>
      <c r="E186" s="150" t="n"/>
    </row>
    <row r="187">
      <c r="A187" s="221" t="n"/>
      <c r="E187" s="150" t="n"/>
    </row>
    <row r="188">
      <c r="A188" s="221" t="n"/>
      <c r="E188" s="150" t="n"/>
    </row>
    <row r="189">
      <c r="A189" s="221" t="n"/>
      <c r="E189" s="150" t="n"/>
    </row>
    <row r="190">
      <c r="A190" s="221" t="n"/>
      <c r="E190" s="150" t="n"/>
    </row>
    <row r="191">
      <c r="A191" s="221" t="n"/>
      <c r="E191" s="150" t="n"/>
    </row>
    <row r="192">
      <c r="A192" s="221" t="n"/>
      <c r="E192" s="150" t="n"/>
    </row>
    <row r="193">
      <c r="A193" s="221" t="n"/>
      <c r="E193" s="150" t="n"/>
    </row>
    <row r="194">
      <c r="A194" s="221" t="n"/>
      <c r="E194" s="150" t="n"/>
    </row>
    <row r="195">
      <c r="A195" s="221" t="n"/>
      <c r="E195" s="150" t="n"/>
    </row>
    <row r="196">
      <c r="A196" s="221" t="n"/>
      <c r="E196" s="150" t="n"/>
    </row>
    <row r="197">
      <c r="A197" s="221" t="n"/>
      <c r="E197" s="150" t="n"/>
    </row>
    <row r="198">
      <c r="A198" s="221" t="n"/>
      <c r="E198" s="150" t="n"/>
    </row>
    <row r="199">
      <c r="A199" s="221" t="n"/>
      <c r="E199" s="150" t="n"/>
    </row>
    <row r="200">
      <c r="A200" s="221" t="n"/>
      <c r="E200" s="15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13" customWidth="1" style="143" min="1" max="1"/>
    <col width="18" customWidth="1" style="143" min="2" max="2"/>
    <col width="24" customWidth="1" style="143" min="3" max="3"/>
    <col width="20" customWidth="1" style="143" min="4" max="4"/>
    <col width="11" customWidth="1" style="143" min="5" max="5"/>
    <col width="15" customWidth="1" style="143" min="6" max="6"/>
    <col width="15" customWidth="1" style="143" min="7" max="7"/>
    <col width="15" customWidth="1" style="143" min="8" max="8"/>
    <col width="15" customWidth="1" style="143" min="9" max="9"/>
    <col width="28" customWidth="1" style="143" min="10" max="10"/>
  </cols>
  <sheetData>
    <row r="1">
      <c r="A1" s="194" t="inlineStr">
        <is>
          <t>Date</t>
        </is>
      </c>
      <c r="B1" s="194" t="inlineStr">
        <is>
          <t>Room / Area</t>
        </is>
      </c>
      <c r="C1" s="194" t="inlineStr">
        <is>
          <t>Item</t>
        </is>
      </c>
      <c r="D1" s="194" t="inlineStr">
        <is>
          <t>Supplier</t>
        </is>
      </c>
      <c r="E1" s="194" t="inlineStr">
        <is>
          <t>Quantity</t>
        </is>
      </c>
      <c r="F1" s="194" t="inlineStr">
        <is>
          <t>Unit Cost (£)</t>
        </is>
      </c>
      <c r="G1" s="194" t="inlineStr">
        <is>
          <t>Total Cost (£)</t>
        </is>
      </c>
      <c r="H1" s="194" t="inlineStr">
        <is>
          <t>Paid (£)</t>
        </is>
      </c>
      <c r="I1" s="194" t="inlineStr">
        <is>
          <t>Balance (£)</t>
        </is>
      </c>
      <c r="J1" s="194" t="inlineStr">
        <is>
          <t>Notes</t>
        </is>
      </c>
    </row>
    <row r="2">
      <c r="A2" s="221" t="n"/>
      <c r="F2" s="150" t="n"/>
      <c r="G2" s="150">
        <f>IF(OR(E2="",F2=""),0,E2*F2)</f>
        <v/>
      </c>
      <c r="H2" s="150" t="n"/>
      <c r="I2" s="150">
        <f>G2-H2</f>
        <v/>
      </c>
    </row>
    <row r="3">
      <c r="A3" s="221" t="n"/>
      <c r="F3" s="150" t="n"/>
      <c r="G3" s="150">
        <f>IF(OR(E3="",F3=""),0,E3*F3)</f>
        <v/>
      </c>
      <c r="H3" s="150" t="n"/>
      <c r="I3" s="150">
        <f>G3-H3</f>
        <v/>
      </c>
    </row>
    <row r="4">
      <c r="A4" s="221" t="n"/>
      <c r="F4" s="150" t="n"/>
      <c r="G4" s="150">
        <f>IF(OR(E4="",F4=""),0,E4*F4)</f>
        <v/>
      </c>
      <c r="H4" s="150" t="n"/>
      <c r="I4" s="150">
        <f>G4-H4</f>
        <v/>
      </c>
    </row>
    <row r="5">
      <c r="A5" s="221" t="n"/>
      <c r="F5" s="150" t="n"/>
      <c r="G5" s="150">
        <f>IF(OR(E5="",F5=""),0,E5*F5)</f>
        <v/>
      </c>
      <c r="H5" s="150" t="n"/>
      <c r="I5" s="150">
        <f>G5-H5</f>
        <v/>
      </c>
    </row>
    <row r="6">
      <c r="A6" s="221" t="n"/>
      <c r="F6" s="150" t="n"/>
      <c r="G6" s="150">
        <f>IF(OR(E6="",F6=""),0,E6*F6)</f>
        <v/>
      </c>
      <c r="H6" s="150" t="n"/>
      <c r="I6" s="150">
        <f>G6-H6</f>
        <v/>
      </c>
    </row>
    <row r="7">
      <c r="A7" s="221" t="n"/>
      <c r="F7" s="150" t="n"/>
      <c r="G7" s="150">
        <f>IF(OR(E7="",F7=""),0,E7*F7)</f>
        <v/>
      </c>
      <c r="H7" s="150" t="n"/>
      <c r="I7" s="150">
        <f>G7-H7</f>
        <v/>
      </c>
    </row>
    <row r="8">
      <c r="A8" s="221" t="n"/>
      <c r="F8" s="150" t="n"/>
      <c r="G8" s="150">
        <f>IF(OR(E8="",F8=""),0,E8*F8)</f>
        <v/>
      </c>
      <c r="H8" s="150" t="n"/>
      <c r="I8" s="150">
        <f>G8-H8</f>
        <v/>
      </c>
    </row>
    <row r="9">
      <c r="A9" s="221" t="n"/>
      <c r="F9" s="150" t="n"/>
      <c r="G9" s="150">
        <f>IF(OR(E9="",F9=""),0,E9*F9)</f>
        <v/>
      </c>
      <c r="H9" s="150" t="n"/>
      <c r="I9" s="150">
        <f>G9-H9</f>
        <v/>
      </c>
    </row>
    <row r="10">
      <c r="A10" s="221" t="n"/>
      <c r="F10" s="150" t="n"/>
      <c r="G10" s="150">
        <f>IF(OR(E10="",F10=""),0,E10*F10)</f>
        <v/>
      </c>
      <c r="H10" s="150" t="n"/>
      <c r="I10" s="150">
        <f>G10-H10</f>
        <v/>
      </c>
    </row>
    <row r="11">
      <c r="A11" s="221" t="n"/>
      <c r="F11" s="150" t="n"/>
      <c r="G11" s="150">
        <f>IF(OR(E11="",F11=""),0,E11*F11)</f>
        <v/>
      </c>
      <c r="H11" s="150" t="n"/>
      <c r="I11" s="150">
        <f>G11-H11</f>
        <v/>
      </c>
    </row>
    <row r="12">
      <c r="A12" s="221" t="n"/>
      <c r="F12" s="150" t="n"/>
      <c r="G12" s="150">
        <f>IF(OR(E12="",F12=""),0,E12*F12)</f>
        <v/>
      </c>
      <c r="H12" s="150" t="n"/>
      <c r="I12" s="150">
        <f>G12-H12</f>
        <v/>
      </c>
    </row>
    <row r="13">
      <c r="A13" s="221" t="n"/>
      <c r="F13" s="150" t="n"/>
      <c r="G13" s="150">
        <f>IF(OR(E13="",F13=""),0,E13*F13)</f>
        <v/>
      </c>
      <c r="H13" s="150" t="n"/>
      <c r="I13" s="150">
        <f>G13-H13</f>
        <v/>
      </c>
    </row>
    <row r="14">
      <c r="A14" s="221" t="n"/>
      <c r="F14" s="150" t="n"/>
      <c r="G14" s="150">
        <f>IF(OR(E14="",F14=""),0,E14*F14)</f>
        <v/>
      </c>
      <c r="H14" s="150" t="n"/>
      <c r="I14" s="150">
        <f>G14-H14</f>
        <v/>
      </c>
    </row>
    <row r="15">
      <c r="A15" s="221" t="n"/>
      <c r="F15" s="150" t="n"/>
      <c r="G15" s="150">
        <f>IF(OR(E15="",F15=""),0,E15*F15)</f>
        <v/>
      </c>
      <c r="H15" s="150" t="n"/>
      <c r="I15" s="150">
        <f>G15-H15</f>
        <v/>
      </c>
    </row>
    <row r="16">
      <c r="A16" s="221" t="n"/>
      <c r="F16" s="150" t="n"/>
      <c r="G16" s="150">
        <f>IF(OR(E16="",F16=""),0,E16*F16)</f>
        <v/>
      </c>
      <c r="H16" s="150" t="n"/>
      <c r="I16" s="150">
        <f>G16-H16</f>
        <v/>
      </c>
    </row>
    <row r="17">
      <c r="A17" s="221" t="n"/>
      <c r="F17" s="150" t="n"/>
      <c r="G17" s="150">
        <f>IF(OR(E17="",F17=""),0,E17*F17)</f>
        <v/>
      </c>
      <c r="H17" s="150" t="n"/>
      <c r="I17" s="150">
        <f>G17-H17</f>
        <v/>
      </c>
    </row>
    <row r="18">
      <c r="A18" s="221" t="n"/>
      <c r="F18" s="150" t="n"/>
      <c r="G18" s="150">
        <f>IF(OR(E18="",F18=""),0,E18*F18)</f>
        <v/>
      </c>
      <c r="H18" s="150" t="n"/>
      <c r="I18" s="150">
        <f>G18-H18</f>
        <v/>
      </c>
    </row>
    <row r="19">
      <c r="A19" s="221" t="n"/>
      <c r="F19" s="150" t="n"/>
      <c r="G19" s="150">
        <f>IF(OR(E19="",F19=""),0,E19*F19)</f>
        <v/>
      </c>
      <c r="H19" s="150" t="n"/>
      <c r="I19" s="150">
        <f>G19-H19</f>
        <v/>
      </c>
    </row>
    <row r="20">
      <c r="A20" s="221" t="n"/>
      <c r="F20" s="150" t="n"/>
      <c r="G20" s="150">
        <f>IF(OR(E20="",F20=""),0,E20*F20)</f>
        <v/>
      </c>
      <c r="H20" s="150" t="n"/>
      <c r="I20" s="150">
        <f>G20-H20</f>
        <v/>
      </c>
    </row>
    <row r="21">
      <c r="A21" s="221" t="n"/>
      <c r="F21" s="150" t="n"/>
      <c r="G21" s="150">
        <f>IF(OR(E21="",F21=""),0,E21*F21)</f>
        <v/>
      </c>
      <c r="H21" s="150" t="n"/>
      <c r="I21" s="150">
        <f>G21-H21</f>
        <v/>
      </c>
    </row>
    <row r="22">
      <c r="A22" s="221" t="n"/>
      <c r="F22" s="150" t="n"/>
      <c r="G22" s="150">
        <f>IF(OR(E22="",F22=""),0,E22*F22)</f>
        <v/>
      </c>
      <c r="H22" s="150" t="n"/>
      <c r="I22" s="150">
        <f>G22-H22</f>
        <v/>
      </c>
    </row>
    <row r="23">
      <c r="A23" s="221" t="n"/>
      <c r="F23" s="150" t="n"/>
      <c r="G23" s="150">
        <f>IF(OR(E23="",F23=""),0,E23*F23)</f>
        <v/>
      </c>
      <c r="H23" s="150" t="n"/>
      <c r="I23" s="150">
        <f>G23-H23</f>
        <v/>
      </c>
    </row>
    <row r="24">
      <c r="A24" s="221" t="n"/>
      <c r="F24" s="150" t="n"/>
      <c r="G24" s="150">
        <f>IF(OR(E24="",F24=""),0,E24*F24)</f>
        <v/>
      </c>
      <c r="H24" s="150" t="n"/>
      <c r="I24" s="150">
        <f>G24-H24</f>
        <v/>
      </c>
    </row>
    <row r="25">
      <c r="A25" s="221" t="n"/>
      <c r="F25" s="150" t="n"/>
      <c r="G25" s="150">
        <f>IF(OR(E25="",F25=""),0,E25*F25)</f>
        <v/>
      </c>
      <c r="H25" s="150" t="n"/>
      <c r="I25" s="150">
        <f>G25-H25</f>
        <v/>
      </c>
    </row>
    <row r="26">
      <c r="A26" s="221" t="n"/>
      <c r="F26" s="150" t="n"/>
      <c r="G26" s="150">
        <f>IF(OR(E26="",F26=""),0,E26*F26)</f>
        <v/>
      </c>
      <c r="H26" s="150" t="n"/>
      <c r="I26" s="150">
        <f>G26-H26</f>
        <v/>
      </c>
    </row>
    <row r="27">
      <c r="A27" s="221" t="n"/>
      <c r="F27" s="150" t="n"/>
      <c r="G27" s="150">
        <f>IF(OR(E27="",F27=""),0,E27*F27)</f>
        <v/>
      </c>
      <c r="H27" s="150" t="n"/>
      <c r="I27" s="150">
        <f>G27-H27</f>
        <v/>
      </c>
    </row>
    <row r="28">
      <c r="A28" s="221" t="n"/>
      <c r="F28" s="150" t="n"/>
      <c r="G28" s="150">
        <f>IF(OR(E28="",F28=""),0,E28*F28)</f>
        <v/>
      </c>
      <c r="H28" s="150" t="n"/>
      <c r="I28" s="150">
        <f>G28-H28</f>
        <v/>
      </c>
    </row>
    <row r="29">
      <c r="A29" s="221" t="n"/>
      <c r="F29" s="150" t="n"/>
      <c r="G29" s="150">
        <f>IF(OR(E29="",F29=""),0,E29*F29)</f>
        <v/>
      </c>
      <c r="H29" s="150" t="n"/>
      <c r="I29" s="150">
        <f>G29-H29</f>
        <v/>
      </c>
    </row>
    <row r="30">
      <c r="A30" s="221" t="n"/>
      <c r="F30" s="150" t="n"/>
      <c r="G30" s="150">
        <f>IF(OR(E30="",F30=""),0,E30*F30)</f>
        <v/>
      </c>
      <c r="H30" s="150" t="n"/>
      <c r="I30" s="150">
        <f>G30-H30</f>
        <v/>
      </c>
    </row>
    <row r="31">
      <c r="A31" s="221" t="n"/>
      <c r="F31" s="150" t="n"/>
      <c r="G31" s="150">
        <f>IF(OR(E31="",F31=""),0,E31*F31)</f>
        <v/>
      </c>
      <c r="H31" s="150" t="n"/>
      <c r="I31" s="150">
        <f>G31-H31</f>
        <v/>
      </c>
    </row>
    <row r="32">
      <c r="A32" s="221" t="n"/>
      <c r="F32" s="150" t="n"/>
      <c r="G32" s="150">
        <f>IF(OR(E32="",F32=""),0,E32*F32)</f>
        <v/>
      </c>
      <c r="H32" s="150" t="n"/>
      <c r="I32" s="150">
        <f>G32-H32</f>
        <v/>
      </c>
    </row>
    <row r="33">
      <c r="A33" s="221" t="n"/>
      <c r="F33" s="150" t="n"/>
      <c r="G33" s="150">
        <f>IF(OR(E33="",F33=""),0,E33*F33)</f>
        <v/>
      </c>
      <c r="H33" s="150" t="n"/>
      <c r="I33" s="150">
        <f>G33-H33</f>
        <v/>
      </c>
    </row>
    <row r="34">
      <c r="A34" s="221" t="n"/>
      <c r="F34" s="150" t="n"/>
      <c r="G34" s="150">
        <f>IF(OR(E34="",F34=""),0,E34*F34)</f>
        <v/>
      </c>
      <c r="H34" s="150" t="n"/>
      <c r="I34" s="150">
        <f>G34-H34</f>
        <v/>
      </c>
    </row>
    <row r="35">
      <c r="A35" s="221" t="n"/>
      <c r="F35" s="150" t="n"/>
      <c r="G35" s="150">
        <f>IF(OR(E35="",F35=""),0,E35*F35)</f>
        <v/>
      </c>
      <c r="H35" s="150" t="n"/>
      <c r="I35" s="150">
        <f>G35-H35</f>
        <v/>
      </c>
    </row>
    <row r="36">
      <c r="A36" s="221" t="n"/>
      <c r="F36" s="150" t="n"/>
      <c r="G36" s="150">
        <f>IF(OR(E36="",F36=""),0,E36*F36)</f>
        <v/>
      </c>
      <c r="H36" s="150" t="n"/>
      <c r="I36" s="150">
        <f>G36-H36</f>
        <v/>
      </c>
    </row>
    <row r="37">
      <c r="A37" s="221" t="n"/>
      <c r="F37" s="150" t="n"/>
      <c r="G37" s="150">
        <f>IF(OR(E37="",F37=""),0,E37*F37)</f>
        <v/>
      </c>
      <c r="H37" s="150" t="n"/>
      <c r="I37" s="150">
        <f>G37-H37</f>
        <v/>
      </c>
    </row>
    <row r="38">
      <c r="A38" s="221" t="n"/>
      <c r="F38" s="150" t="n"/>
      <c r="G38" s="150">
        <f>IF(OR(E38="",F38=""),0,E38*F38)</f>
        <v/>
      </c>
      <c r="H38" s="150" t="n"/>
      <c r="I38" s="150">
        <f>G38-H38</f>
        <v/>
      </c>
    </row>
    <row r="39">
      <c r="A39" s="221" t="n"/>
      <c r="F39" s="150" t="n"/>
      <c r="G39" s="150">
        <f>IF(OR(E39="",F39=""),0,E39*F39)</f>
        <v/>
      </c>
      <c r="H39" s="150" t="n"/>
      <c r="I39" s="150">
        <f>G39-H39</f>
        <v/>
      </c>
    </row>
    <row r="40">
      <c r="A40" s="221" t="n"/>
      <c r="F40" s="150" t="n"/>
      <c r="G40" s="150">
        <f>IF(OR(E40="",F40=""),0,E40*F40)</f>
        <v/>
      </c>
      <c r="H40" s="150" t="n"/>
      <c r="I40" s="150">
        <f>G40-H40</f>
        <v/>
      </c>
    </row>
    <row r="41">
      <c r="A41" s="221" t="n"/>
      <c r="F41" s="150" t="n"/>
      <c r="G41" s="150">
        <f>IF(OR(E41="",F41=""),0,E41*F41)</f>
        <v/>
      </c>
      <c r="H41" s="150" t="n"/>
      <c r="I41" s="150">
        <f>G41-H41</f>
        <v/>
      </c>
    </row>
    <row r="42">
      <c r="A42" s="221" t="n"/>
      <c r="F42" s="150" t="n"/>
      <c r="G42" s="150">
        <f>IF(OR(E42="",F42=""),0,E42*F42)</f>
        <v/>
      </c>
      <c r="H42" s="150" t="n"/>
      <c r="I42" s="150">
        <f>G42-H42</f>
        <v/>
      </c>
    </row>
    <row r="43">
      <c r="A43" s="221" t="n"/>
      <c r="F43" s="150" t="n"/>
      <c r="G43" s="150">
        <f>IF(OR(E43="",F43=""),0,E43*F43)</f>
        <v/>
      </c>
      <c r="H43" s="150" t="n"/>
      <c r="I43" s="150">
        <f>G43-H43</f>
        <v/>
      </c>
    </row>
    <row r="44">
      <c r="A44" s="221" t="n"/>
      <c r="F44" s="150" t="n"/>
      <c r="G44" s="150">
        <f>IF(OR(E44="",F44=""),0,E44*F44)</f>
        <v/>
      </c>
      <c r="H44" s="150" t="n"/>
      <c r="I44" s="150">
        <f>G44-H44</f>
        <v/>
      </c>
    </row>
    <row r="45">
      <c r="A45" s="221" t="n"/>
      <c r="F45" s="150" t="n"/>
      <c r="G45" s="150">
        <f>IF(OR(E45="",F45=""),0,E45*F45)</f>
        <v/>
      </c>
      <c r="H45" s="150" t="n"/>
      <c r="I45" s="150">
        <f>G45-H45</f>
        <v/>
      </c>
    </row>
    <row r="46">
      <c r="A46" s="221" t="n"/>
      <c r="F46" s="150" t="n"/>
      <c r="G46" s="150">
        <f>IF(OR(E46="",F46=""),0,E46*F46)</f>
        <v/>
      </c>
      <c r="H46" s="150" t="n"/>
      <c r="I46" s="150">
        <f>G46-H46</f>
        <v/>
      </c>
    </row>
    <row r="47">
      <c r="A47" s="221" t="n"/>
      <c r="F47" s="150" t="n"/>
      <c r="G47" s="150">
        <f>IF(OR(E47="",F47=""),0,E47*F47)</f>
        <v/>
      </c>
      <c r="H47" s="150" t="n"/>
      <c r="I47" s="150">
        <f>G47-H47</f>
        <v/>
      </c>
    </row>
    <row r="48">
      <c r="A48" s="221" t="n"/>
      <c r="F48" s="150" t="n"/>
      <c r="G48" s="150">
        <f>IF(OR(E48="",F48=""),0,E48*F48)</f>
        <v/>
      </c>
      <c r="H48" s="150" t="n"/>
      <c r="I48" s="150">
        <f>G48-H48</f>
        <v/>
      </c>
    </row>
    <row r="49">
      <c r="A49" s="221" t="n"/>
      <c r="F49" s="150" t="n"/>
      <c r="G49" s="150">
        <f>IF(OR(E49="",F49=""),0,E49*F49)</f>
        <v/>
      </c>
      <c r="H49" s="150" t="n"/>
      <c r="I49" s="150">
        <f>G49-H49</f>
        <v/>
      </c>
    </row>
    <row r="50">
      <c r="A50" s="221" t="n"/>
      <c r="F50" s="150" t="n"/>
      <c r="G50" s="150">
        <f>IF(OR(E50="",F50=""),0,E50*F50)</f>
        <v/>
      </c>
      <c r="H50" s="150" t="n"/>
      <c r="I50" s="150">
        <f>G50-H50</f>
        <v/>
      </c>
    </row>
    <row r="51">
      <c r="A51" s="221" t="n"/>
      <c r="F51" s="150" t="n"/>
      <c r="G51" s="150">
        <f>IF(OR(E51="",F51=""),0,E51*F51)</f>
        <v/>
      </c>
      <c r="H51" s="150" t="n"/>
      <c r="I51" s="150">
        <f>G51-H51</f>
        <v/>
      </c>
    </row>
    <row r="52">
      <c r="A52" s="221" t="n"/>
      <c r="F52" s="150" t="n"/>
      <c r="G52" s="150">
        <f>IF(OR(E52="",F52=""),0,E52*F52)</f>
        <v/>
      </c>
      <c r="H52" s="150" t="n"/>
      <c r="I52" s="150">
        <f>G52-H52</f>
        <v/>
      </c>
    </row>
    <row r="53">
      <c r="A53" s="221" t="n"/>
      <c r="F53" s="150" t="n"/>
      <c r="G53" s="150">
        <f>IF(OR(E53="",F53=""),0,E53*F53)</f>
        <v/>
      </c>
      <c r="H53" s="150" t="n"/>
      <c r="I53" s="150">
        <f>G53-H53</f>
        <v/>
      </c>
    </row>
    <row r="54">
      <c r="A54" s="221" t="n"/>
      <c r="F54" s="150" t="n"/>
      <c r="G54" s="150">
        <f>IF(OR(E54="",F54=""),0,E54*F54)</f>
        <v/>
      </c>
      <c r="H54" s="150" t="n"/>
      <c r="I54" s="150">
        <f>G54-H54</f>
        <v/>
      </c>
    </row>
    <row r="55">
      <c r="A55" s="221" t="n"/>
      <c r="F55" s="150" t="n"/>
      <c r="G55" s="150">
        <f>IF(OR(E55="",F55=""),0,E55*F55)</f>
        <v/>
      </c>
      <c r="H55" s="150" t="n"/>
      <c r="I55" s="150">
        <f>G55-H55</f>
        <v/>
      </c>
    </row>
    <row r="56">
      <c r="A56" s="221" t="n"/>
      <c r="F56" s="150" t="n"/>
      <c r="G56" s="150">
        <f>IF(OR(E56="",F56=""),0,E56*F56)</f>
        <v/>
      </c>
      <c r="H56" s="150" t="n"/>
      <c r="I56" s="150">
        <f>G56-H56</f>
        <v/>
      </c>
    </row>
    <row r="57">
      <c r="A57" s="221" t="n"/>
      <c r="F57" s="150" t="n"/>
      <c r="G57" s="150">
        <f>IF(OR(E57="",F57=""),0,E57*F57)</f>
        <v/>
      </c>
      <c r="H57" s="150" t="n"/>
      <c r="I57" s="150">
        <f>G57-H57</f>
        <v/>
      </c>
    </row>
    <row r="58">
      <c r="A58" s="221" t="n"/>
      <c r="F58" s="150" t="n"/>
      <c r="G58" s="150">
        <f>IF(OR(E58="",F58=""),0,E58*F58)</f>
        <v/>
      </c>
      <c r="H58" s="150" t="n"/>
      <c r="I58" s="150">
        <f>G58-H58</f>
        <v/>
      </c>
    </row>
    <row r="59">
      <c r="A59" s="221" t="n"/>
      <c r="F59" s="150" t="n"/>
      <c r="G59" s="150">
        <f>IF(OR(E59="",F59=""),0,E59*F59)</f>
        <v/>
      </c>
      <c r="H59" s="150" t="n"/>
      <c r="I59" s="150">
        <f>G59-H59</f>
        <v/>
      </c>
    </row>
    <row r="60">
      <c r="A60" s="221" t="n"/>
      <c r="F60" s="150" t="n"/>
      <c r="G60" s="150">
        <f>IF(OR(E60="",F60=""),0,E60*F60)</f>
        <v/>
      </c>
      <c r="H60" s="150" t="n"/>
      <c r="I60" s="150">
        <f>G60-H60</f>
        <v/>
      </c>
    </row>
    <row r="61">
      <c r="A61" s="221" t="n"/>
      <c r="F61" s="150" t="n"/>
      <c r="G61" s="150">
        <f>IF(OR(E61="",F61=""),0,E61*F61)</f>
        <v/>
      </c>
      <c r="H61" s="150" t="n"/>
      <c r="I61" s="150">
        <f>G61-H61</f>
        <v/>
      </c>
    </row>
    <row r="62">
      <c r="A62" s="221" t="n"/>
      <c r="F62" s="150" t="n"/>
      <c r="G62" s="150">
        <f>IF(OR(E62="",F62=""),0,E62*F62)</f>
        <v/>
      </c>
      <c r="H62" s="150" t="n"/>
      <c r="I62" s="150">
        <f>G62-H62</f>
        <v/>
      </c>
    </row>
    <row r="63">
      <c r="A63" s="221" t="n"/>
      <c r="F63" s="150" t="n"/>
      <c r="G63" s="150">
        <f>IF(OR(E63="",F63=""),0,E63*F63)</f>
        <v/>
      </c>
      <c r="H63" s="150" t="n"/>
      <c r="I63" s="150">
        <f>G63-H63</f>
        <v/>
      </c>
    </row>
    <row r="64">
      <c r="A64" s="221" t="n"/>
      <c r="F64" s="150" t="n"/>
      <c r="G64" s="150">
        <f>IF(OR(E64="",F64=""),0,E64*F64)</f>
        <v/>
      </c>
      <c r="H64" s="150" t="n"/>
      <c r="I64" s="150">
        <f>G64-H64</f>
        <v/>
      </c>
    </row>
    <row r="65">
      <c r="A65" s="221" t="n"/>
      <c r="F65" s="150" t="n"/>
      <c r="G65" s="150">
        <f>IF(OR(E65="",F65=""),0,E65*F65)</f>
        <v/>
      </c>
      <c r="H65" s="150" t="n"/>
      <c r="I65" s="150">
        <f>G65-H65</f>
        <v/>
      </c>
    </row>
    <row r="66">
      <c r="A66" s="221" t="n"/>
      <c r="F66" s="150" t="n"/>
      <c r="G66" s="150">
        <f>IF(OR(E66="",F66=""),0,E66*F66)</f>
        <v/>
      </c>
      <c r="H66" s="150" t="n"/>
      <c r="I66" s="150">
        <f>G66-H66</f>
        <v/>
      </c>
    </row>
    <row r="67">
      <c r="A67" s="221" t="n"/>
      <c r="F67" s="150" t="n"/>
      <c r="G67" s="150">
        <f>IF(OR(E67="",F67=""),0,E67*F67)</f>
        <v/>
      </c>
      <c r="H67" s="150" t="n"/>
      <c r="I67" s="150">
        <f>G67-H67</f>
        <v/>
      </c>
    </row>
    <row r="68">
      <c r="A68" s="221" t="n"/>
      <c r="F68" s="150" t="n"/>
      <c r="G68" s="150">
        <f>IF(OR(E68="",F68=""),0,E68*F68)</f>
        <v/>
      </c>
      <c r="H68" s="150" t="n"/>
      <c r="I68" s="150">
        <f>G68-H68</f>
        <v/>
      </c>
    </row>
    <row r="69">
      <c r="A69" s="221" t="n"/>
      <c r="F69" s="150" t="n"/>
      <c r="G69" s="150">
        <f>IF(OR(E69="",F69=""),0,E69*F69)</f>
        <v/>
      </c>
      <c r="H69" s="150" t="n"/>
      <c r="I69" s="150">
        <f>G69-H69</f>
        <v/>
      </c>
    </row>
    <row r="70">
      <c r="A70" s="221" t="n"/>
      <c r="F70" s="150" t="n"/>
      <c r="G70" s="150">
        <f>IF(OR(E70="",F70=""),0,E70*F70)</f>
        <v/>
      </c>
      <c r="H70" s="150" t="n"/>
      <c r="I70" s="150">
        <f>G70-H70</f>
        <v/>
      </c>
    </row>
    <row r="71">
      <c r="A71" s="221" t="n"/>
      <c r="F71" s="150" t="n"/>
      <c r="G71" s="150">
        <f>IF(OR(E71="",F71=""),0,E71*F71)</f>
        <v/>
      </c>
      <c r="H71" s="150" t="n"/>
      <c r="I71" s="150">
        <f>G71-H71</f>
        <v/>
      </c>
    </row>
    <row r="72">
      <c r="A72" s="221" t="n"/>
      <c r="F72" s="150" t="n"/>
      <c r="G72" s="150">
        <f>IF(OR(E72="",F72=""),0,E72*F72)</f>
        <v/>
      </c>
      <c r="H72" s="150" t="n"/>
      <c r="I72" s="150">
        <f>G72-H72</f>
        <v/>
      </c>
    </row>
    <row r="73">
      <c r="A73" s="221" t="n"/>
      <c r="F73" s="150" t="n"/>
      <c r="G73" s="150">
        <f>IF(OR(E73="",F73=""),0,E73*F73)</f>
        <v/>
      </c>
      <c r="H73" s="150" t="n"/>
      <c r="I73" s="150">
        <f>G73-H73</f>
        <v/>
      </c>
    </row>
    <row r="74">
      <c r="A74" s="221" t="n"/>
      <c r="F74" s="150" t="n"/>
      <c r="G74" s="150">
        <f>IF(OR(E74="",F74=""),0,E74*F74)</f>
        <v/>
      </c>
      <c r="H74" s="150" t="n"/>
      <c r="I74" s="150">
        <f>G74-H74</f>
        <v/>
      </c>
    </row>
    <row r="75">
      <c r="A75" s="221" t="n"/>
      <c r="F75" s="150" t="n"/>
      <c r="G75" s="150">
        <f>IF(OR(E75="",F75=""),0,E75*F75)</f>
        <v/>
      </c>
      <c r="H75" s="150" t="n"/>
      <c r="I75" s="150">
        <f>G75-H75</f>
        <v/>
      </c>
    </row>
    <row r="76">
      <c r="A76" s="221" t="n"/>
      <c r="F76" s="150" t="n"/>
      <c r="G76" s="150">
        <f>IF(OR(E76="",F76=""),0,E76*F76)</f>
        <v/>
      </c>
      <c r="H76" s="150" t="n"/>
      <c r="I76" s="150">
        <f>G76-H76</f>
        <v/>
      </c>
    </row>
    <row r="77">
      <c r="A77" s="221" t="n"/>
      <c r="F77" s="150" t="n"/>
      <c r="G77" s="150">
        <f>IF(OR(E77="",F77=""),0,E77*F77)</f>
        <v/>
      </c>
      <c r="H77" s="150" t="n"/>
      <c r="I77" s="150">
        <f>G77-H77</f>
        <v/>
      </c>
    </row>
    <row r="78">
      <c r="A78" s="221" t="n"/>
      <c r="F78" s="150" t="n"/>
      <c r="G78" s="150">
        <f>IF(OR(E78="",F78=""),0,E78*F78)</f>
        <v/>
      </c>
      <c r="H78" s="150" t="n"/>
      <c r="I78" s="150">
        <f>G78-H78</f>
        <v/>
      </c>
    </row>
    <row r="79">
      <c r="A79" s="221" t="n"/>
      <c r="F79" s="150" t="n"/>
      <c r="G79" s="150">
        <f>IF(OR(E79="",F79=""),0,E79*F79)</f>
        <v/>
      </c>
      <c r="H79" s="150" t="n"/>
      <c r="I79" s="150">
        <f>G79-H79</f>
        <v/>
      </c>
    </row>
    <row r="80">
      <c r="A80" s="221" t="n"/>
      <c r="F80" s="150" t="n"/>
      <c r="G80" s="150">
        <f>IF(OR(E80="",F80=""),0,E80*F80)</f>
        <v/>
      </c>
      <c r="H80" s="150" t="n"/>
      <c r="I80" s="150">
        <f>G80-H80</f>
        <v/>
      </c>
    </row>
    <row r="81">
      <c r="A81" s="221" t="n"/>
      <c r="F81" s="150" t="n"/>
      <c r="G81" s="150">
        <f>IF(OR(E81="",F81=""),0,E81*F81)</f>
        <v/>
      </c>
      <c r="H81" s="150" t="n"/>
      <c r="I81" s="150">
        <f>G81-H81</f>
        <v/>
      </c>
    </row>
    <row r="82">
      <c r="A82" s="221" t="n"/>
      <c r="F82" s="150" t="n"/>
      <c r="G82" s="150">
        <f>IF(OR(E82="",F82=""),0,E82*F82)</f>
        <v/>
      </c>
      <c r="H82" s="150" t="n"/>
      <c r="I82" s="150">
        <f>G82-H82</f>
        <v/>
      </c>
    </row>
    <row r="83">
      <c r="A83" s="221" t="n"/>
      <c r="F83" s="150" t="n"/>
      <c r="G83" s="150">
        <f>IF(OR(E83="",F83=""),0,E83*F83)</f>
        <v/>
      </c>
      <c r="H83" s="150" t="n"/>
      <c r="I83" s="150">
        <f>G83-H83</f>
        <v/>
      </c>
    </row>
    <row r="84">
      <c r="A84" s="221" t="n"/>
      <c r="F84" s="150" t="n"/>
      <c r="G84" s="150">
        <f>IF(OR(E84="",F84=""),0,E84*F84)</f>
        <v/>
      </c>
      <c r="H84" s="150" t="n"/>
      <c r="I84" s="150">
        <f>G84-H84</f>
        <v/>
      </c>
    </row>
    <row r="85">
      <c r="A85" s="221" t="n"/>
      <c r="F85" s="150" t="n"/>
      <c r="G85" s="150">
        <f>IF(OR(E85="",F85=""),0,E85*F85)</f>
        <v/>
      </c>
      <c r="H85" s="150" t="n"/>
      <c r="I85" s="150">
        <f>G85-H85</f>
        <v/>
      </c>
    </row>
    <row r="86">
      <c r="A86" s="221" t="n"/>
      <c r="F86" s="150" t="n"/>
      <c r="G86" s="150">
        <f>IF(OR(E86="",F86=""),0,E86*F86)</f>
        <v/>
      </c>
      <c r="H86" s="150" t="n"/>
      <c r="I86" s="150">
        <f>G86-H86</f>
        <v/>
      </c>
    </row>
    <row r="87">
      <c r="A87" s="221" t="n"/>
      <c r="F87" s="150" t="n"/>
      <c r="G87" s="150">
        <f>IF(OR(E87="",F87=""),0,E87*F87)</f>
        <v/>
      </c>
      <c r="H87" s="150" t="n"/>
      <c r="I87" s="150">
        <f>G87-H87</f>
        <v/>
      </c>
    </row>
    <row r="88">
      <c r="A88" s="221" t="n"/>
      <c r="F88" s="150" t="n"/>
      <c r="G88" s="150">
        <f>IF(OR(E88="",F88=""),0,E88*F88)</f>
        <v/>
      </c>
      <c r="H88" s="150" t="n"/>
      <c r="I88" s="150">
        <f>G88-H88</f>
        <v/>
      </c>
    </row>
    <row r="89">
      <c r="A89" s="221" t="n"/>
      <c r="F89" s="150" t="n"/>
      <c r="G89" s="150">
        <f>IF(OR(E89="",F89=""),0,E89*F89)</f>
        <v/>
      </c>
      <c r="H89" s="150" t="n"/>
      <c r="I89" s="150">
        <f>G89-H89</f>
        <v/>
      </c>
    </row>
    <row r="90">
      <c r="A90" s="221" t="n"/>
      <c r="F90" s="150" t="n"/>
      <c r="G90" s="150">
        <f>IF(OR(E90="",F90=""),0,E90*F90)</f>
        <v/>
      </c>
      <c r="H90" s="150" t="n"/>
      <c r="I90" s="150">
        <f>G90-H90</f>
        <v/>
      </c>
    </row>
    <row r="91">
      <c r="A91" s="221" t="n"/>
      <c r="F91" s="150" t="n"/>
      <c r="G91" s="150">
        <f>IF(OR(E91="",F91=""),0,E91*F91)</f>
        <v/>
      </c>
      <c r="H91" s="150" t="n"/>
      <c r="I91" s="150">
        <f>G91-H91</f>
        <v/>
      </c>
    </row>
    <row r="92">
      <c r="A92" s="221" t="n"/>
      <c r="F92" s="150" t="n"/>
      <c r="G92" s="150">
        <f>IF(OR(E92="",F92=""),0,E92*F92)</f>
        <v/>
      </c>
      <c r="H92" s="150" t="n"/>
      <c r="I92" s="150">
        <f>G92-H92</f>
        <v/>
      </c>
    </row>
    <row r="93">
      <c r="A93" s="221" t="n"/>
      <c r="F93" s="150" t="n"/>
      <c r="G93" s="150">
        <f>IF(OR(E93="",F93=""),0,E93*F93)</f>
        <v/>
      </c>
      <c r="H93" s="150" t="n"/>
      <c r="I93" s="150">
        <f>G93-H93</f>
        <v/>
      </c>
    </row>
    <row r="94">
      <c r="A94" s="221" t="n"/>
      <c r="F94" s="150" t="n"/>
      <c r="G94" s="150">
        <f>IF(OR(E94="",F94=""),0,E94*F94)</f>
        <v/>
      </c>
      <c r="H94" s="150" t="n"/>
      <c r="I94" s="150">
        <f>G94-H94</f>
        <v/>
      </c>
    </row>
    <row r="95">
      <c r="A95" s="221" t="n"/>
      <c r="F95" s="150" t="n"/>
      <c r="G95" s="150">
        <f>IF(OR(E95="",F95=""),0,E95*F95)</f>
        <v/>
      </c>
      <c r="H95" s="150" t="n"/>
      <c r="I95" s="150">
        <f>G95-H95</f>
        <v/>
      </c>
    </row>
    <row r="96">
      <c r="A96" s="221" t="n"/>
      <c r="F96" s="150" t="n"/>
      <c r="G96" s="150">
        <f>IF(OR(E96="",F96=""),0,E96*F96)</f>
        <v/>
      </c>
      <c r="H96" s="150" t="n"/>
      <c r="I96" s="150">
        <f>G96-H96</f>
        <v/>
      </c>
    </row>
    <row r="97">
      <c r="A97" s="221" t="n"/>
      <c r="F97" s="150" t="n"/>
      <c r="G97" s="150">
        <f>IF(OR(E97="",F97=""),0,E97*F97)</f>
        <v/>
      </c>
      <c r="H97" s="150" t="n"/>
      <c r="I97" s="150">
        <f>G97-H97</f>
        <v/>
      </c>
    </row>
    <row r="98">
      <c r="A98" s="221" t="n"/>
      <c r="F98" s="150" t="n"/>
      <c r="G98" s="150">
        <f>IF(OR(E98="",F98=""),0,E98*F98)</f>
        <v/>
      </c>
      <c r="H98" s="150" t="n"/>
      <c r="I98" s="150">
        <f>G98-H98</f>
        <v/>
      </c>
    </row>
    <row r="99">
      <c r="A99" s="221" t="n"/>
      <c r="F99" s="150" t="n"/>
      <c r="G99" s="150">
        <f>IF(OR(E99="",F99=""),0,E99*F99)</f>
        <v/>
      </c>
      <c r="H99" s="150" t="n"/>
      <c r="I99" s="150">
        <f>G99-H99</f>
        <v/>
      </c>
    </row>
    <row r="100">
      <c r="A100" s="221" t="n"/>
      <c r="F100" s="150" t="n"/>
      <c r="G100" s="150">
        <f>IF(OR(E100="",F100=""),0,E100*F100)</f>
        <v/>
      </c>
      <c r="H100" s="150" t="n"/>
      <c r="I100" s="150">
        <f>G100-H100</f>
        <v/>
      </c>
    </row>
    <row r="101">
      <c r="A101" s="221" t="n"/>
      <c r="F101" s="150" t="n"/>
      <c r="G101" s="150">
        <f>IF(OR(E101="",F101=""),0,E101*F101)</f>
        <v/>
      </c>
      <c r="H101" s="150" t="n"/>
      <c r="I101" s="150">
        <f>G101-H101</f>
        <v/>
      </c>
    </row>
    <row r="102">
      <c r="A102" s="221" t="n"/>
      <c r="F102" s="150" t="n"/>
      <c r="G102" s="150">
        <f>IF(OR(E102="",F102=""),0,E102*F102)</f>
        <v/>
      </c>
      <c r="H102" s="150" t="n"/>
      <c r="I102" s="150">
        <f>G102-H102</f>
        <v/>
      </c>
    </row>
    <row r="103">
      <c r="A103" s="221" t="n"/>
      <c r="F103" s="150" t="n"/>
      <c r="G103" s="150">
        <f>IF(OR(E103="",F103=""),0,E103*F103)</f>
        <v/>
      </c>
      <c r="H103" s="150" t="n"/>
      <c r="I103" s="150">
        <f>G103-H103</f>
        <v/>
      </c>
    </row>
    <row r="104">
      <c r="A104" s="221" t="n"/>
      <c r="F104" s="150" t="n"/>
      <c r="G104" s="150">
        <f>IF(OR(E104="",F104=""),0,E104*F104)</f>
        <v/>
      </c>
      <c r="H104" s="150" t="n"/>
      <c r="I104" s="150">
        <f>G104-H104</f>
        <v/>
      </c>
    </row>
    <row r="105">
      <c r="A105" s="221" t="n"/>
      <c r="F105" s="150" t="n"/>
      <c r="G105" s="150">
        <f>IF(OR(E105="",F105=""),0,E105*F105)</f>
        <v/>
      </c>
      <c r="H105" s="150" t="n"/>
      <c r="I105" s="150">
        <f>G105-H105</f>
        <v/>
      </c>
    </row>
    <row r="106">
      <c r="A106" s="221" t="n"/>
      <c r="F106" s="150" t="n"/>
      <c r="G106" s="150">
        <f>IF(OR(E106="",F106=""),0,E106*F106)</f>
        <v/>
      </c>
      <c r="H106" s="150" t="n"/>
      <c r="I106" s="150">
        <f>G106-H106</f>
        <v/>
      </c>
    </row>
    <row r="107">
      <c r="A107" s="221" t="n"/>
      <c r="F107" s="150" t="n"/>
      <c r="G107" s="150">
        <f>IF(OR(E107="",F107=""),0,E107*F107)</f>
        <v/>
      </c>
      <c r="H107" s="150" t="n"/>
      <c r="I107" s="150">
        <f>G107-H107</f>
        <v/>
      </c>
    </row>
    <row r="108">
      <c r="A108" s="221" t="n"/>
      <c r="F108" s="150" t="n"/>
      <c r="G108" s="150">
        <f>IF(OR(E108="",F108=""),0,E108*F108)</f>
        <v/>
      </c>
      <c r="H108" s="150" t="n"/>
      <c r="I108" s="150">
        <f>G108-H108</f>
        <v/>
      </c>
    </row>
    <row r="109">
      <c r="A109" s="221" t="n"/>
      <c r="F109" s="150" t="n"/>
      <c r="G109" s="150">
        <f>IF(OR(E109="",F109=""),0,E109*F109)</f>
        <v/>
      </c>
      <c r="H109" s="150" t="n"/>
      <c r="I109" s="150">
        <f>G109-H109</f>
        <v/>
      </c>
    </row>
    <row r="110">
      <c r="A110" s="221" t="n"/>
      <c r="F110" s="150" t="n"/>
      <c r="G110" s="150">
        <f>IF(OR(E110="",F110=""),0,E110*F110)</f>
        <v/>
      </c>
      <c r="H110" s="150" t="n"/>
      <c r="I110" s="150">
        <f>G110-H110</f>
        <v/>
      </c>
    </row>
    <row r="111">
      <c r="A111" s="221" t="n"/>
      <c r="F111" s="150" t="n"/>
      <c r="G111" s="150">
        <f>IF(OR(E111="",F111=""),0,E111*F111)</f>
        <v/>
      </c>
      <c r="H111" s="150" t="n"/>
      <c r="I111" s="150">
        <f>G111-H111</f>
        <v/>
      </c>
    </row>
    <row r="112">
      <c r="A112" s="221" t="n"/>
      <c r="F112" s="150" t="n"/>
      <c r="G112" s="150">
        <f>IF(OR(E112="",F112=""),0,E112*F112)</f>
        <v/>
      </c>
      <c r="H112" s="150" t="n"/>
      <c r="I112" s="150">
        <f>G112-H112</f>
        <v/>
      </c>
    </row>
    <row r="113">
      <c r="A113" s="221" t="n"/>
      <c r="F113" s="150" t="n"/>
      <c r="G113" s="150">
        <f>IF(OR(E113="",F113=""),0,E113*F113)</f>
        <v/>
      </c>
      <c r="H113" s="150" t="n"/>
      <c r="I113" s="150">
        <f>G113-H113</f>
        <v/>
      </c>
    </row>
    <row r="114">
      <c r="A114" s="221" t="n"/>
      <c r="F114" s="150" t="n"/>
      <c r="G114" s="150">
        <f>IF(OR(E114="",F114=""),0,E114*F114)</f>
        <v/>
      </c>
      <c r="H114" s="150" t="n"/>
      <c r="I114" s="150">
        <f>G114-H114</f>
        <v/>
      </c>
    </row>
    <row r="115">
      <c r="A115" s="221" t="n"/>
      <c r="F115" s="150" t="n"/>
      <c r="G115" s="150">
        <f>IF(OR(E115="",F115=""),0,E115*F115)</f>
        <v/>
      </c>
      <c r="H115" s="150" t="n"/>
      <c r="I115" s="150">
        <f>G115-H115</f>
        <v/>
      </c>
    </row>
    <row r="116">
      <c r="A116" s="221" t="n"/>
      <c r="F116" s="150" t="n"/>
      <c r="G116" s="150">
        <f>IF(OR(E116="",F116=""),0,E116*F116)</f>
        <v/>
      </c>
      <c r="H116" s="150" t="n"/>
      <c r="I116" s="150">
        <f>G116-H116</f>
        <v/>
      </c>
    </row>
    <row r="117">
      <c r="A117" s="221" t="n"/>
      <c r="F117" s="150" t="n"/>
      <c r="G117" s="150">
        <f>IF(OR(E117="",F117=""),0,E117*F117)</f>
        <v/>
      </c>
      <c r="H117" s="150" t="n"/>
      <c r="I117" s="150">
        <f>G117-H117</f>
        <v/>
      </c>
    </row>
    <row r="118">
      <c r="A118" s="221" t="n"/>
      <c r="F118" s="150" t="n"/>
      <c r="G118" s="150">
        <f>IF(OR(E118="",F118=""),0,E118*F118)</f>
        <v/>
      </c>
      <c r="H118" s="150" t="n"/>
      <c r="I118" s="150">
        <f>G118-H118</f>
        <v/>
      </c>
    </row>
    <row r="119">
      <c r="A119" s="221" t="n"/>
      <c r="F119" s="150" t="n"/>
      <c r="G119" s="150">
        <f>IF(OR(E119="",F119=""),0,E119*F119)</f>
        <v/>
      </c>
      <c r="H119" s="150" t="n"/>
      <c r="I119" s="150">
        <f>G119-H119</f>
        <v/>
      </c>
    </row>
    <row r="120">
      <c r="A120" s="221" t="n"/>
      <c r="F120" s="150" t="n"/>
      <c r="G120" s="150">
        <f>IF(OR(E120="",F120=""),0,E120*F120)</f>
        <v/>
      </c>
      <c r="H120" s="150" t="n"/>
      <c r="I120" s="150">
        <f>G120-H120</f>
        <v/>
      </c>
    </row>
    <row r="121">
      <c r="A121" s="221" t="n"/>
      <c r="F121" s="150" t="n"/>
      <c r="G121" s="150">
        <f>IF(OR(E121="",F121=""),0,E121*F121)</f>
        <v/>
      </c>
      <c r="H121" s="150" t="n"/>
      <c r="I121" s="150">
        <f>G121-H121</f>
        <v/>
      </c>
    </row>
    <row r="122">
      <c r="A122" s="221" t="n"/>
      <c r="F122" s="150" t="n"/>
      <c r="G122" s="150">
        <f>IF(OR(E122="",F122=""),0,E122*F122)</f>
        <v/>
      </c>
      <c r="H122" s="150" t="n"/>
      <c r="I122" s="150">
        <f>G122-H122</f>
        <v/>
      </c>
    </row>
    <row r="123">
      <c r="A123" s="221" t="n"/>
      <c r="F123" s="150" t="n"/>
      <c r="G123" s="150">
        <f>IF(OR(E123="",F123=""),0,E123*F123)</f>
        <v/>
      </c>
      <c r="H123" s="150" t="n"/>
      <c r="I123" s="150">
        <f>G123-H123</f>
        <v/>
      </c>
    </row>
    <row r="124">
      <c r="A124" s="221" t="n"/>
      <c r="F124" s="150" t="n"/>
      <c r="G124" s="150">
        <f>IF(OR(E124="",F124=""),0,E124*F124)</f>
        <v/>
      </c>
      <c r="H124" s="150" t="n"/>
      <c r="I124" s="150">
        <f>G124-H124</f>
        <v/>
      </c>
    </row>
    <row r="125">
      <c r="A125" s="221" t="n"/>
      <c r="F125" s="150" t="n"/>
      <c r="G125" s="150">
        <f>IF(OR(E125="",F125=""),0,E125*F125)</f>
        <v/>
      </c>
      <c r="H125" s="150" t="n"/>
      <c r="I125" s="150">
        <f>G125-H125</f>
        <v/>
      </c>
    </row>
    <row r="126">
      <c r="A126" s="221" t="n"/>
      <c r="F126" s="150" t="n"/>
      <c r="G126" s="150">
        <f>IF(OR(E126="",F126=""),0,E126*F126)</f>
        <v/>
      </c>
      <c r="H126" s="150" t="n"/>
      <c r="I126" s="150">
        <f>G126-H126</f>
        <v/>
      </c>
    </row>
    <row r="127">
      <c r="A127" s="221" t="n"/>
      <c r="F127" s="150" t="n"/>
      <c r="G127" s="150">
        <f>IF(OR(E127="",F127=""),0,E127*F127)</f>
        <v/>
      </c>
      <c r="H127" s="150" t="n"/>
      <c r="I127" s="150">
        <f>G127-H127</f>
        <v/>
      </c>
    </row>
    <row r="128">
      <c r="A128" s="221" t="n"/>
      <c r="F128" s="150" t="n"/>
      <c r="G128" s="150">
        <f>IF(OR(E128="",F128=""),0,E128*F128)</f>
        <v/>
      </c>
      <c r="H128" s="150" t="n"/>
      <c r="I128" s="150">
        <f>G128-H128</f>
        <v/>
      </c>
    </row>
    <row r="129">
      <c r="A129" s="221" t="n"/>
      <c r="F129" s="150" t="n"/>
      <c r="G129" s="150">
        <f>IF(OR(E129="",F129=""),0,E129*F129)</f>
        <v/>
      </c>
      <c r="H129" s="150" t="n"/>
      <c r="I129" s="150">
        <f>G129-H129</f>
        <v/>
      </c>
    </row>
    <row r="130">
      <c r="A130" s="221" t="n"/>
      <c r="F130" s="150" t="n"/>
      <c r="G130" s="150">
        <f>IF(OR(E130="",F130=""),0,E130*F130)</f>
        <v/>
      </c>
      <c r="H130" s="150" t="n"/>
      <c r="I130" s="150">
        <f>G130-H130</f>
        <v/>
      </c>
    </row>
    <row r="131">
      <c r="A131" s="221" t="n"/>
      <c r="F131" s="150" t="n"/>
      <c r="G131" s="150">
        <f>IF(OR(E131="",F131=""),0,E131*F131)</f>
        <v/>
      </c>
      <c r="H131" s="150" t="n"/>
      <c r="I131" s="150">
        <f>G131-H131</f>
        <v/>
      </c>
    </row>
    <row r="132">
      <c r="A132" s="221" t="n"/>
      <c r="F132" s="150" t="n"/>
      <c r="G132" s="150">
        <f>IF(OR(E132="",F132=""),0,E132*F132)</f>
        <v/>
      </c>
      <c r="H132" s="150" t="n"/>
      <c r="I132" s="150">
        <f>G132-H132</f>
        <v/>
      </c>
    </row>
    <row r="133">
      <c r="A133" s="221" t="n"/>
      <c r="F133" s="150" t="n"/>
      <c r="G133" s="150">
        <f>IF(OR(E133="",F133=""),0,E133*F133)</f>
        <v/>
      </c>
      <c r="H133" s="150" t="n"/>
      <c r="I133" s="150">
        <f>G133-H133</f>
        <v/>
      </c>
    </row>
    <row r="134">
      <c r="A134" s="221" t="n"/>
      <c r="F134" s="150" t="n"/>
      <c r="G134" s="150">
        <f>IF(OR(E134="",F134=""),0,E134*F134)</f>
        <v/>
      </c>
      <c r="H134" s="150" t="n"/>
      <c r="I134" s="150">
        <f>G134-H134</f>
        <v/>
      </c>
    </row>
    <row r="135">
      <c r="A135" s="221" t="n"/>
      <c r="F135" s="150" t="n"/>
      <c r="G135" s="150">
        <f>IF(OR(E135="",F135=""),0,E135*F135)</f>
        <v/>
      </c>
      <c r="H135" s="150" t="n"/>
      <c r="I135" s="150">
        <f>G135-H135</f>
        <v/>
      </c>
    </row>
    <row r="136">
      <c r="A136" s="221" t="n"/>
      <c r="F136" s="150" t="n"/>
      <c r="G136" s="150">
        <f>IF(OR(E136="",F136=""),0,E136*F136)</f>
        <v/>
      </c>
      <c r="H136" s="150" t="n"/>
      <c r="I136" s="150">
        <f>G136-H136</f>
        <v/>
      </c>
    </row>
    <row r="137">
      <c r="A137" s="221" t="n"/>
      <c r="F137" s="150" t="n"/>
      <c r="G137" s="150">
        <f>IF(OR(E137="",F137=""),0,E137*F137)</f>
        <v/>
      </c>
      <c r="H137" s="150" t="n"/>
      <c r="I137" s="150">
        <f>G137-H137</f>
        <v/>
      </c>
    </row>
    <row r="138">
      <c r="A138" s="221" t="n"/>
      <c r="F138" s="150" t="n"/>
      <c r="G138" s="150">
        <f>IF(OR(E138="",F138=""),0,E138*F138)</f>
        <v/>
      </c>
      <c r="H138" s="150" t="n"/>
      <c r="I138" s="150">
        <f>G138-H138</f>
        <v/>
      </c>
    </row>
    <row r="139">
      <c r="A139" s="221" t="n"/>
      <c r="F139" s="150" t="n"/>
      <c r="G139" s="150">
        <f>IF(OR(E139="",F139=""),0,E139*F139)</f>
        <v/>
      </c>
      <c r="H139" s="150" t="n"/>
      <c r="I139" s="150">
        <f>G139-H139</f>
        <v/>
      </c>
    </row>
    <row r="140">
      <c r="A140" s="221" t="n"/>
      <c r="F140" s="150" t="n"/>
      <c r="G140" s="150">
        <f>IF(OR(E140="",F140=""),0,E140*F140)</f>
        <v/>
      </c>
      <c r="H140" s="150" t="n"/>
      <c r="I140" s="150">
        <f>G140-H140</f>
        <v/>
      </c>
    </row>
    <row r="141">
      <c r="A141" s="221" t="n"/>
      <c r="F141" s="150" t="n"/>
      <c r="G141" s="150">
        <f>IF(OR(E141="",F141=""),0,E141*F141)</f>
        <v/>
      </c>
      <c r="H141" s="150" t="n"/>
      <c r="I141" s="150">
        <f>G141-H141</f>
        <v/>
      </c>
    </row>
    <row r="142">
      <c r="A142" s="221" t="n"/>
      <c r="F142" s="150" t="n"/>
      <c r="G142" s="150">
        <f>IF(OR(E142="",F142=""),0,E142*F142)</f>
        <v/>
      </c>
      <c r="H142" s="150" t="n"/>
      <c r="I142" s="150">
        <f>G142-H142</f>
        <v/>
      </c>
    </row>
    <row r="143">
      <c r="A143" s="221" t="n"/>
      <c r="F143" s="150" t="n"/>
      <c r="G143" s="150">
        <f>IF(OR(E143="",F143=""),0,E143*F143)</f>
        <v/>
      </c>
      <c r="H143" s="150" t="n"/>
      <c r="I143" s="150">
        <f>G143-H143</f>
        <v/>
      </c>
    </row>
    <row r="144">
      <c r="A144" s="221" t="n"/>
      <c r="F144" s="150" t="n"/>
      <c r="G144" s="150">
        <f>IF(OR(E144="",F144=""),0,E144*F144)</f>
        <v/>
      </c>
      <c r="H144" s="150" t="n"/>
      <c r="I144" s="150">
        <f>G144-H144</f>
        <v/>
      </c>
    </row>
    <row r="145">
      <c r="A145" s="221" t="n"/>
      <c r="F145" s="150" t="n"/>
      <c r="G145" s="150">
        <f>IF(OR(E145="",F145=""),0,E145*F145)</f>
        <v/>
      </c>
      <c r="H145" s="150" t="n"/>
      <c r="I145" s="150">
        <f>G145-H145</f>
        <v/>
      </c>
    </row>
    <row r="146">
      <c r="A146" s="221" t="n"/>
      <c r="F146" s="150" t="n"/>
      <c r="G146" s="150">
        <f>IF(OR(E146="",F146=""),0,E146*F146)</f>
        <v/>
      </c>
      <c r="H146" s="150" t="n"/>
      <c r="I146" s="150">
        <f>G146-H146</f>
        <v/>
      </c>
    </row>
    <row r="147">
      <c r="A147" s="221" t="n"/>
      <c r="F147" s="150" t="n"/>
      <c r="G147" s="150">
        <f>IF(OR(E147="",F147=""),0,E147*F147)</f>
        <v/>
      </c>
      <c r="H147" s="150" t="n"/>
      <c r="I147" s="150">
        <f>G147-H147</f>
        <v/>
      </c>
    </row>
    <row r="148">
      <c r="A148" s="221" t="n"/>
      <c r="F148" s="150" t="n"/>
      <c r="G148" s="150">
        <f>IF(OR(E148="",F148=""),0,E148*F148)</f>
        <v/>
      </c>
      <c r="H148" s="150" t="n"/>
      <c r="I148" s="150">
        <f>G148-H148</f>
        <v/>
      </c>
    </row>
    <row r="149">
      <c r="A149" s="221" t="n"/>
      <c r="F149" s="150" t="n"/>
      <c r="G149" s="150">
        <f>IF(OR(E149="",F149=""),0,E149*F149)</f>
        <v/>
      </c>
      <c r="H149" s="150" t="n"/>
      <c r="I149" s="150">
        <f>G149-H149</f>
        <v/>
      </c>
    </row>
    <row r="150">
      <c r="A150" s="221" t="n"/>
      <c r="F150" s="150" t="n"/>
      <c r="G150" s="150">
        <f>IF(OR(E150="",F150=""),0,E150*F150)</f>
        <v/>
      </c>
      <c r="H150" s="150" t="n"/>
      <c r="I150" s="150">
        <f>G150-H150</f>
        <v/>
      </c>
    </row>
    <row r="151">
      <c r="A151" s="221" t="n"/>
      <c r="F151" s="150" t="n"/>
      <c r="G151" s="150">
        <f>IF(OR(E151="",F151=""),0,E151*F151)</f>
        <v/>
      </c>
      <c r="H151" s="150" t="n"/>
      <c r="I151" s="150">
        <f>G151-H151</f>
        <v/>
      </c>
    </row>
    <row r="152">
      <c r="A152" s="221" t="n"/>
      <c r="F152" s="150" t="n"/>
      <c r="G152" s="150">
        <f>IF(OR(E152="",F152=""),0,E152*F152)</f>
        <v/>
      </c>
      <c r="H152" s="150" t="n"/>
      <c r="I152" s="150">
        <f>G152-H152</f>
        <v/>
      </c>
    </row>
    <row r="153">
      <c r="A153" s="221" t="n"/>
      <c r="F153" s="150" t="n"/>
      <c r="G153" s="150">
        <f>IF(OR(E153="",F153=""),0,E153*F153)</f>
        <v/>
      </c>
      <c r="H153" s="150" t="n"/>
      <c r="I153" s="150">
        <f>G153-H153</f>
        <v/>
      </c>
    </row>
    <row r="154">
      <c r="A154" s="221" t="n"/>
      <c r="F154" s="150" t="n"/>
      <c r="G154" s="150">
        <f>IF(OR(E154="",F154=""),0,E154*F154)</f>
        <v/>
      </c>
      <c r="H154" s="150" t="n"/>
      <c r="I154" s="150">
        <f>G154-H154</f>
        <v/>
      </c>
    </row>
    <row r="155">
      <c r="A155" s="221" t="n"/>
      <c r="F155" s="150" t="n"/>
      <c r="G155" s="150">
        <f>IF(OR(E155="",F155=""),0,E155*F155)</f>
        <v/>
      </c>
      <c r="H155" s="150" t="n"/>
      <c r="I155" s="150">
        <f>G155-H155</f>
        <v/>
      </c>
    </row>
    <row r="156">
      <c r="A156" s="221" t="n"/>
      <c r="F156" s="150" t="n"/>
      <c r="G156" s="150">
        <f>IF(OR(E156="",F156=""),0,E156*F156)</f>
        <v/>
      </c>
      <c r="H156" s="150" t="n"/>
      <c r="I156" s="150">
        <f>G156-H156</f>
        <v/>
      </c>
    </row>
    <row r="157">
      <c r="A157" s="221" t="n"/>
      <c r="F157" s="150" t="n"/>
      <c r="G157" s="150">
        <f>IF(OR(E157="",F157=""),0,E157*F157)</f>
        <v/>
      </c>
      <c r="H157" s="150" t="n"/>
      <c r="I157" s="150">
        <f>G157-H157</f>
        <v/>
      </c>
    </row>
    <row r="158">
      <c r="A158" s="221" t="n"/>
      <c r="F158" s="150" t="n"/>
      <c r="G158" s="150">
        <f>IF(OR(E158="",F158=""),0,E158*F158)</f>
        <v/>
      </c>
      <c r="H158" s="150" t="n"/>
      <c r="I158" s="150">
        <f>G158-H158</f>
        <v/>
      </c>
    </row>
    <row r="159">
      <c r="A159" s="221" t="n"/>
      <c r="F159" s="150" t="n"/>
      <c r="G159" s="150">
        <f>IF(OR(E159="",F159=""),0,E159*F159)</f>
        <v/>
      </c>
      <c r="H159" s="150" t="n"/>
      <c r="I159" s="150">
        <f>G159-H159</f>
        <v/>
      </c>
    </row>
    <row r="160">
      <c r="A160" s="221" t="n"/>
      <c r="F160" s="150" t="n"/>
      <c r="G160" s="150">
        <f>IF(OR(E160="",F160=""),0,E160*F160)</f>
        <v/>
      </c>
      <c r="H160" s="150" t="n"/>
      <c r="I160" s="150">
        <f>G160-H160</f>
        <v/>
      </c>
    </row>
    <row r="161">
      <c r="A161" s="221" t="n"/>
      <c r="F161" s="150" t="n"/>
      <c r="G161" s="150">
        <f>IF(OR(E161="",F161=""),0,E161*F161)</f>
        <v/>
      </c>
      <c r="H161" s="150" t="n"/>
      <c r="I161" s="150">
        <f>G161-H161</f>
        <v/>
      </c>
    </row>
    <row r="162">
      <c r="A162" s="221" t="n"/>
      <c r="F162" s="150" t="n"/>
      <c r="G162" s="150">
        <f>IF(OR(E162="",F162=""),0,E162*F162)</f>
        <v/>
      </c>
      <c r="H162" s="150" t="n"/>
      <c r="I162" s="150">
        <f>G162-H162</f>
        <v/>
      </c>
    </row>
    <row r="163">
      <c r="A163" s="221" t="n"/>
      <c r="F163" s="150" t="n"/>
      <c r="G163" s="150">
        <f>IF(OR(E163="",F163=""),0,E163*F163)</f>
        <v/>
      </c>
      <c r="H163" s="150" t="n"/>
      <c r="I163" s="150">
        <f>G163-H163</f>
        <v/>
      </c>
    </row>
    <row r="164">
      <c r="A164" s="221" t="n"/>
      <c r="F164" s="150" t="n"/>
      <c r="G164" s="150">
        <f>IF(OR(E164="",F164=""),0,E164*F164)</f>
        <v/>
      </c>
      <c r="H164" s="150" t="n"/>
      <c r="I164" s="150">
        <f>G164-H164</f>
        <v/>
      </c>
    </row>
    <row r="165">
      <c r="A165" s="221" t="n"/>
      <c r="F165" s="150" t="n"/>
      <c r="G165" s="150">
        <f>IF(OR(E165="",F165=""),0,E165*F165)</f>
        <v/>
      </c>
      <c r="H165" s="150" t="n"/>
      <c r="I165" s="150">
        <f>G165-H165</f>
        <v/>
      </c>
    </row>
    <row r="166">
      <c r="A166" s="221" t="n"/>
      <c r="F166" s="150" t="n"/>
      <c r="G166" s="150">
        <f>IF(OR(E166="",F166=""),0,E166*F166)</f>
        <v/>
      </c>
      <c r="H166" s="150" t="n"/>
      <c r="I166" s="150">
        <f>G166-H166</f>
        <v/>
      </c>
    </row>
    <row r="167">
      <c r="A167" s="221" t="n"/>
      <c r="F167" s="150" t="n"/>
      <c r="G167" s="150">
        <f>IF(OR(E167="",F167=""),0,E167*F167)</f>
        <v/>
      </c>
      <c r="H167" s="150" t="n"/>
      <c r="I167" s="150">
        <f>G167-H167</f>
        <v/>
      </c>
    </row>
    <row r="168">
      <c r="A168" s="221" t="n"/>
      <c r="F168" s="150" t="n"/>
      <c r="G168" s="150">
        <f>IF(OR(E168="",F168=""),0,E168*F168)</f>
        <v/>
      </c>
      <c r="H168" s="150" t="n"/>
      <c r="I168" s="150">
        <f>G168-H168</f>
        <v/>
      </c>
    </row>
    <row r="169">
      <c r="A169" s="221" t="n"/>
      <c r="F169" s="150" t="n"/>
      <c r="G169" s="150">
        <f>IF(OR(E169="",F169=""),0,E169*F169)</f>
        <v/>
      </c>
      <c r="H169" s="150" t="n"/>
      <c r="I169" s="150">
        <f>G169-H169</f>
        <v/>
      </c>
    </row>
    <row r="170">
      <c r="A170" s="221" t="n"/>
      <c r="F170" s="150" t="n"/>
      <c r="G170" s="150">
        <f>IF(OR(E170="",F170=""),0,E170*F170)</f>
        <v/>
      </c>
      <c r="H170" s="150" t="n"/>
      <c r="I170" s="150">
        <f>G170-H170</f>
        <v/>
      </c>
    </row>
    <row r="171">
      <c r="A171" s="221" t="n"/>
      <c r="F171" s="150" t="n"/>
      <c r="G171" s="150">
        <f>IF(OR(E171="",F171=""),0,E171*F171)</f>
        <v/>
      </c>
      <c r="H171" s="150" t="n"/>
      <c r="I171" s="150">
        <f>G171-H171</f>
        <v/>
      </c>
    </row>
    <row r="172">
      <c r="A172" s="221" t="n"/>
      <c r="F172" s="150" t="n"/>
      <c r="G172" s="150">
        <f>IF(OR(E172="",F172=""),0,E172*F172)</f>
        <v/>
      </c>
      <c r="H172" s="150" t="n"/>
      <c r="I172" s="150">
        <f>G172-H172</f>
        <v/>
      </c>
    </row>
    <row r="173">
      <c r="A173" s="221" t="n"/>
      <c r="F173" s="150" t="n"/>
      <c r="G173" s="150">
        <f>IF(OR(E173="",F173=""),0,E173*F173)</f>
        <v/>
      </c>
      <c r="H173" s="150" t="n"/>
      <c r="I173" s="150">
        <f>G173-H173</f>
        <v/>
      </c>
    </row>
    <row r="174">
      <c r="A174" s="221" t="n"/>
      <c r="F174" s="150" t="n"/>
      <c r="G174" s="150">
        <f>IF(OR(E174="",F174=""),0,E174*F174)</f>
        <v/>
      </c>
      <c r="H174" s="150" t="n"/>
      <c r="I174" s="150">
        <f>G174-H174</f>
        <v/>
      </c>
    </row>
    <row r="175">
      <c r="A175" s="221" t="n"/>
      <c r="F175" s="150" t="n"/>
      <c r="G175" s="150">
        <f>IF(OR(E175="",F175=""),0,E175*F175)</f>
        <v/>
      </c>
      <c r="H175" s="150" t="n"/>
      <c r="I175" s="150">
        <f>G175-H175</f>
        <v/>
      </c>
    </row>
    <row r="176">
      <c r="A176" s="221" t="n"/>
      <c r="F176" s="150" t="n"/>
      <c r="G176" s="150">
        <f>IF(OR(E176="",F176=""),0,E176*F176)</f>
        <v/>
      </c>
      <c r="H176" s="150" t="n"/>
      <c r="I176" s="150">
        <f>G176-H176</f>
        <v/>
      </c>
    </row>
    <row r="177">
      <c r="A177" s="221" t="n"/>
      <c r="F177" s="150" t="n"/>
      <c r="G177" s="150">
        <f>IF(OR(E177="",F177=""),0,E177*F177)</f>
        <v/>
      </c>
      <c r="H177" s="150" t="n"/>
      <c r="I177" s="150">
        <f>G177-H177</f>
        <v/>
      </c>
    </row>
    <row r="178">
      <c r="A178" s="221" t="n"/>
      <c r="F178" s="150" t="n"/>
      <c r="G178" s="150">
        <f>IF(OR(E178="",F178=""),0,E178*F178)</f>
        <v/>
      </c>
      <c r="H178" s="150" t="n"/>
      <c r="I178" s="150">
        <f>G178-H178</f>
        <v/>
      </c>
    </row>
    <row r="179">
      <c r="A179" s="221" t="n"/>
      <c r="F179" s="150" t="n"/>
      <c r="G179" s="150">
        <f>IF(OR(E179="",F179=""),0,E179*F179)</f>
        <v/>
      </c>
      <c r="H179" s="150" t="n"/>
      <c r="I179" s="150">
        <f>G179-H179</f>
        <v/>
      </c>
    </row>
    <row r="180">
      <c r="A180" s="221" t="n"/>
      <c r="F180" s="150" t="n"/>
      <c r="G180" s="150">
        <f>IF(OR(E180="",F180=""),0,E180*F180)</f>
        <v/>
      </c>
      <c r="H180" s="150" t="n"/>
      <c r="I180" s="150">
        <f>G180-H180</f>
        <v/>
      </c>
    </row>
    <row r="181">
      <c r="A181" s="221" t="n"/>
      <c r="F181" s="150" t="n"/>
      <c r="G181" s="150">
        <f>IF(OR(E181="",F181=""),0,E181*F181)</f>
        <v/>
      </c>
      <c r="H181" s="150" t="n"/>
      <c r="I181" s="150">
        <f>G181-H181</f>
        <v/>
      </c>
    </row>
    <row r="182">
      <c r="A182" s="221" t="n"/>
      <c r="F182" s="150" t="n"/>
      <c r="G182" s="150">
        <f>IF(OR(E182="",F182=""),0,E182*F182)</f>
        <v/>
      </c>
      <c r="H182" s="150" t="n"/>
      <c r="I182" s="150">
        <f>G182-H182</f>
        <v/>
      </c>
    </row>
    <row r="183">
      <c r="A183" s="221" t="n"/>
      <c r="F183" s="150" t="n"/>
      <c r="G183" s="150">
        <f>IF(OR(E183="",F183=""),0,E183*F183)</f>
        <v/>
      </c>
      <c r="H183" s="150" t="n"/>
      <c r="I183" s="150">
        <f>G183-H183</f>
        <v/>
      </c>
    </row>
    <row r="184">
      <c r="A184" s="221" t="n"/>
      <c r="F184" s="150" t="n"/>
      <c r="G184" s="150">
        <f>IF(OR(E184="",F184=""),0,E184*F184)</f>
        <v/>
      </c>
      <c r="H184" s="150" t="n"/>
      <c r="I184" s="150">
        <f>G184-H184</f>
        <v/>
      </c>
    </row>
    <row r="185">
      <c r="A185" s="221" t="n"/>
      <c r="F185" s="150" t="n"/>
      <c r="G185" s="150">
        <f>IF(OR(E185="",F185=""),0,E185*F185)</f>
        <v/>
      </c>
      <c r="H185" s="150" t="n"/>
      <c r="I185" s="150">
        <f>G185-H185</f>
        <v/>
      </c>
    </row>
    <row r="186">
      <c r="A186" s="221" t="n"/>
      <c r="F186" s="150" t="n"/>
      <c r="G186" s="150">
        <f>IF(OR(E186="",F186=""),0,E186*F186)</f>
        <v/>
      </c>
      <c r="H186" s="150" t="n"/>
      <c r="I186" s="150">
        <f>G186-H186</f>
        <v/>
      </c>
    </row>
    <row r="187">
      <c r="A187" s="221" t="n"/>
      <c r="F187" s="150" t="n"/>
      <c r="G187" s="150">
        <f>IF(OR(E187="",F187=""),0,E187*F187)</f>
        <v/>
      </c>
      <c r="H187" s="150" t="n"/>
      <c r="I187" s="150">
        <f>G187-H187</f>
        <v/>
      </c>
    </row>
    <row r="188">
      <c r="A188" s="221" t="n"/>
      <c r="F188" s="150" t="n"/>
      <c r="G188" s="150">
        <f>IF(OR(E188="",F188=""),0,E188*F188)</f>
        <v/>
      </c>
      <c r="H188" s="150" t="n"/>
      <c r="I188" s="150">
        <f>G188-H188</f>
        <v/>
      </c>
    </row>
    <row r="189">
      <c r="A189" s="221" t="n"/>
      <c r="F189" s="150" t="n"/>
      <c r="G189" s="150">
        <f>IF(OR(E189="",F189=""),0,E189*F189)</f>
        <v/>
      </c>
      <c r="H189" s="150" t="n"/>
      <c r="I189" s="150">
        <f>G189-H189</f>
        <v/>
      </c>
    </row>
    <row r="190">
      <c r="A190" s="221" t="n"/>
      <c r="F190" s="150" t="n"/>
      <c r="G190" s="150">
        <f>IF(OR(E190="",F190=""),0,E190*F190)</f>
        <v/>
      </c>
      <c r="H190" s="150" t="n"/>
      <c r="I190" s="150">
        <f>G190-H190</f>
        <v/>
      </c>
    </row>
    <row r="191">
      <c r="A191" s="221" t="n"/>
      <c r="F191" s="150" t="n"/>
      <c r="G191" s="150">
        <f>IF(OR(E191="",F191=""),0,E191*F191)</f>
        <v/>
      </c>
      <c r="H191" s="150" t="n"/>
      <c r="I191" s="150">
        <f>G191-H191</f>
        <v/>
      </c>
    </row>
    <row r="192">
      <c r="A192" s="221" t="n"/>
      <c r="F192" s="150" t="n"/>
      <c r="G192" s="150">
        <f>IF(OR(E192="",F192=""),0,E192*F192)</f>
        <v/>
      </c>
      <c r="H192" s="150" t="n"/>
      <c r="I192" s="150">
        <f>G192-H192</f>
        <v/>
      </c>
    </row>
    <row r="193">
      <c r="A193" s="221" t="n"/>
      <c r="F193" s="150" t="n"/>
      <c r="G193" s="150">
        <f>IF(OR(E193="",F193=""),0,E193*F193)</f>
        <v/>
      </c>
      <c r="H193" s="150" t="n"/>
      <c r="I193" s="150">
        <f>G193-H193</f>
        <v/>
      </c>
    </row>
    <row r="194">
      <c r="A194" s="221" t="n"/>
      <c r="F194" s="150" t="n"/>
      <c r="G194" s="150">
        <f>IF(OR(E194="",F194=""),0,E194*F194)</f>
        <v/>
      </c>
      <c r="H194" s="150" t="n"/>
      <c r="I194" s="150">
        <f>G194-H194</f>
        <v/>
      </c>
    </row>
    <row r="195">
      <c r="A195" s="221" t="n"/>
      <c r="F195" s="150" t="n"/>
      <c r="G195" s="150">
        <f>IF(OR(E195="",F195=""),0,E195*F195)</f>
        <v/>
      </c>
      <c r="H195" s="150" t="n"/>
      <c r="I195" s="150">
        <f>G195-H195</f>
        <v/>
      </c>
    </row>
    <row r="196">
      <c r="A196" s="221" t="n"/>
      <c r="F196" s="150" t="n"/>
      <c r="G196" s="150">
        <f>IF(OR(E196="",F196=""),0,E196*F196)</f>
        <v/>
      </c>
      <c r="H196" s="150" t="n"/>
      <c r="I196" s="150">
        <f>G196-H196</f>
        <v/>
      </c>
    </row>
    <row r="197">
      <c r="A197" s="221" t="n"/>
      <c r="F197" s="150" t="n"/>
      <c r="G197" s="150">
        <f>IF(OR(E197="",F197=""),0,E197*F197)</f>
        <v/>
      </c>
      <c r="H197" s="150" t="n"/>
      <c r="I197" s="150">
        <f>G197-H197</f>
        <v/>
      </c>
    </row>
    <row r="198">
      <c r="A198" s="221" t="n"/>
      <c r="F198" s="150" t="n"/>
      <c r="G198" s="150">
        <f>IF(OR(E198="",F198=""),0,E198*F198)</f>
        <v/>
      </c>
      <c r="H198" s="150" t="n"/>
      <c r="I198" s="150">
        <f>G198-H198</f>
        <v/>
      </c>
    </row>
    <row r="199">
      <c r="A199" s="221" t="n"/>
      <c r="F199" s="150" t="n"/>
      <c r="G199" s="150">
        <f>IF(OR(E199="",F199=""),0,E199*F199)</f>
        <v/>
      </c>
      <c r="H199" s="150" t="n"/>
      <c r="I199" s="150">
        <f>G199-H199</f>
        <v/>
      </c>
    </row>
    <row r="200">
      <c r="A200" s="221" t="n"/>
      <c r="F200" s="150" t="n"/>
      <c r="G200" s="150">
        <f>IF(OR(E200="",F200=""),0,E200*F200)</f>
        <v/>
      </c>
      <c r="H200" s="150" t="n"/>
      <c r="I200" s="150">
        <f>G200-H200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style="143" min="1" max="1"/>
    <col width="18" customWidth="1" style="143" min="2" max="2"/>
    <col width="20" customWidth="1" style="143" min="4" max="4"/>
    <col width="12" customWidth="1" style="143" min="5" max="5"/>
  </cols>
  <sheetData>
    <row r="1">
      <c r="A1" s="222" t="inlineStr">
        <is>
          <t>House Project Dashboard</t>
        </is>
      </c>
      <c r="B1" s="34" t="n"/>
      <c r="C1" s="34" t="n"/>
      <c r="D1" s="34" t="n"/>
      <c r="E1" s="34" t="n"/>
      <c r="F1" s="34" t="n"/>
      <c r="G1" s="34" t="n"/>
      <c r="H1" s="34" t="n"/>
    </row>
    <row r="2">
      <c r="A2" s="34" t="n"/>
      <c r="B2" s="34" t="n"/>
      <c r="C2" s="34" t="n"/>
      <c r="D2" s="34" t="n"/>
      <c r="E2" s="34" t="n"/>
      <c r="F2" s="34" t="n"/>
      <c r="G2" s="34" t="n"/>
      <c r="H2" s="34" t="n"/>
    </row>
    <row r="4">
      <c r="A4" s="194" t="inlineStr">
        <is>
          <t>Project Metric</t>
        </is>
      </c>
      <c r="B4" s="194" t="inlineStr">
        <is>
          <t>Current Total</t>
        </is>
      </c>
      <c r="D4" s="194" t="inlineStr">
        <is>
          <t>Status</t>
        </is>
      </c>
      <c r="E4" s="194" t="inlineStr">
        <is>
          <t>Count</t>
        </is>
      </c>
    </row>
    <row r="5">
      <c r="A5" s="197" t="inlineStr">
        <is>
          <t>Total Quoted</t>
        </is>
      </c>
      <c r="B5" s="150">
        <f>'House Project Costs'!L2</f>
        <v/>
      </c>
      <c r="D5" s="219" t="inlineStr">
        <is>
          <t>Awaiting quote</t>
        </is>
      </c>
      <c r="E5">
        <f>COUNTIF('House Project Costs'!H2:H100,"Awaiting quote")</f>
        <v/>
      </c>
    </row>
    <row r="6">
      <c r="A6" s="197" t="inlineStr">
        <is>
          <t>Total Paid</t>
        </is>
      </c>
      <c r="B6" s="150">
        <f>'House Project Costs'!L3</f>
        <v/>
      </c>
      <c r="D6" s="219" t="inlineStr">
        <is>
          <t>Quoted</t>
        </is>
      </c>
      <c r="E6">
        <f>COUNTIF('House Project Costs'!H2:H100,"Quoted")</f>
        <v/>
      </c>
    </row>
    <row r="7">
      <c r="A7" s="197" t="inlineStr">
        <is>
          <t>Balance Remaining</t>
        </is>
      </c>
      <c r="B7" s="150">
        <f>'House Project Costs'!L4</f>
        <v/>
      </c>
      <c r="D7" s="219" t="inlineStr">
        <is>
          <t>Part paid</t>
        </is>
      </c>
      <c r="E7">
        <f>COUNTIF('House Project Costs'!H2:H100,"Part paid")</f>
        <v/>
      </c>
    </row>
    <row r="8">
      <c r="A8" s="197" t="inlineStr">
        <is>
          <t>Quotes Awaiting</t>
        </is>
      </c>
      <c r="B8">
        <f>'House Project Costs'!L6</f>
        <v/>
      </c>
      <c r="D8" s="219" t="inlineStr">
        <is>
          <t>Paid</t>
        </is>
      </c>
      <c r="E8">
        <f>COUNTIF('House Project Costs'!H2:H100,"Paid")</f>
        <v/>
      </c>
    </row>
    <row r="9">
      <c r="D9" s="219" t="inlineStr">
        <is>
          <t>Outstanding</t>
        </is>
      </c>
      <c r="E9">
        <f>COUNTIF('House Project Costs'!H2:H100,"Outstanding")</f>
        <v/>
      </c>
    </row>
    <row r="10">
      <c r="D10" s="219" t="inlineStr">
        <is>
          <t>Total entries</t>
        </is>
      </c>
      <c r="E10">
        <f>COUNTA('House Project Costs'!A2:A100)</f>
        <v/>
      </c>
    </row>
  </sheetData>
  <mergeCells count="1">
    <mergeCell ref="A1:H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2026-07-13T10:10:33Z</dcterms:created>
  <dcterms:modified xmlns:dcterms="http://purl.org/dc/terms/" xmlns:xsi="http://www.w3.org/2001/XMLSchema-instance" xsi:type="dcterms:W3CDTF">2026-07-13T10:10:33Z</dcterms:modified>
</cp:coreProperties>
</file>